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Time\"/>
    </mc:Choice>
  </mc:AlternateContent>
  <xr:revisionPtr revIDLastSave="0" documentId="13_ncr:1_{7123F740-B783-4B9C-A5A5-213AC345947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PredProb" sheetId="2" r:id="rId2"/>
    <sheet name="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H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" i="3"/>
</calcChain>
</file>

<file path=xl/sharedStrings.xml><?xml version="1.0" encoding="utf-8"?>
<sst xmlns="http://schemas.openxmlformats.org/spreadsheetml/2006/main" count="118" uniqueCount="69">
  <si>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</si>
  <si>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</si>
  <si>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</si>
  <si>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10020</t>
  </si>
  <si>
    <t>Method:                           MLE   Df Model:                           23</t>
  </si>
  <si>
    <t>Date:                Mon</t>
  </si>
  <si>
    <t xml:space="preserve"> 06 Oct 2025   Pseudo R-squ.:                0.005274</t>
  </si>
  <si>
    <t>Time:                        12:46:55   Log-Likelihood:                -5750.8</t>
  </si>
  <si>
    <t>converged:                       True   LL-Null:                       -5781.3</t>
  </si>
  <si>
    <t>Covariance Type:            nonrobust   LLR p-value:                 2.753e-05</t>
  </si>
  <si>
    <t>===============================================================================</t>
  </si>
  <si>
    <t xml:space="preserve">                  coef    std err          z      P&gt;|z|      [0.025      0.975]</t>
  </si>
  <si>
    <t>-------------------------------------------------------------------------------</t>
  </si>
  <si>
    <t>Intercept       0.9930      0.106      9.407      0.000       0.786       1.200</t>
  </si>
  <si>
    <t>TimeHour_0     -0.2053      0.156     -1.318      0.187      -0.511       0.100</t>
  </si>
  <si>
    <t>TimeHour_1     -0.0926      0.172     -0.538      0.591      -0.430       0.245</t>
  </si>
  <si>
    <t>TimeHour_2     -0.1522      0.166     -0.919      0.358      -0.477       0.172</t>
  </si>
  <si>
    <t>TimeHour_3     -0.3164      0.166     -1.901      0.057      -0.643       0.010</t>
  </si>
  <si>
    <t>TimeHour_4     -0.0164      0.242     -0.068      0.946      -0.491       0.458</t>
  </si>
  <si>
    <t>TimeHour_5     -0.1327      0.192     -0.690      0.490      -0.510       0.244</t>
  </si>
  <si>
    <t>TimeHour_6      0.2138      0.170      1.257      0.209      -0.120       0.547</t>
  </si>
  <si>
    <t>TimeHour_7      0.3642      0.178      2.044      0.041       0.015       0.713</t>
  </si>
  <si>
    <t>TimeHour_8      0.3088      0.168      1.835      0.067      -0.021       0.639</t>
  </si>
  <si>
    <t>TimeHour_9      0.2288      0.160      1.428      0.153      -0.085       0.543</t>
  </si>
  <si>
    <t>TimeHour_10     0.0770      0.154      0.499      0.618      -0.225       0.379</t>
  </si>
  <si>
    <t>TimeHour_11     0.1628      0.155      1.050      0.294      -0.141       0.467</t>
  </si>
  <si>
    <t>TimeHour_13    -0.1709      0.144     -1.185      0.236      -0.454       0.112</t>
  </si>
  <si>
    <t>TimeHour_14    -0.0547      0.142     -0.384      0.701      -0.333       0.224</t>
  </si>
  <si>
    <t>TimeHour_15     0.2226      0.146      1.529      0.126      -0.063       0.508</t>
  </si>
  <si>
    <t>TimeHour_16    -0.0937      0.140     -0.669      0.504      -0.368       0.181</t>
  </si>
  <si>
    <t>TimeHour_17     0.1374      0.140      0.980      0.327      -0.138       0.412</t>
  </si>
  <si>
    <t>TimeHour_18     0.2837      0.142      1.998      0.046       0.005       0.562</t>
  </si>
  <si>
    <t>TimeHour_19     0.2087      0.146      1.432      0.152      -0.077       0.494</t>
  </si>
  <si>
    <t>TimeHour_20    -0.1024      0.140     -0.730      0.465      -0.377       0.173</t>
  </si>
  <si>
    <t>TimeHour_21     0.0553      0.147      0.376      0.707      -0.233       0.343</t>
  </si>
  <si>
    <t>TimeHour_22     0.0560      0.151      0.372      0.710      -0.239       0.351</t>
  </si>
  <si>
    <t>TimeHour_23    -0.2074      0.151     -1.371      0.170      -0.504       0.089</t>
  </si>
  <si>
    <t>===============================================================================Hour</t>
  </si>
  <si>
    <t>PredProb_Severe</t>
  </si>
  <si>
    <t>TimeHour_7</t>
  </si>
  <si>
    <t>TimeHour_8</t>
  </si>
  <si>
    <t>TimeHour_18</t>
  </si>
  <si>
    <t>TimeHour_9</t>
  </si>
  <si>
    <t>TimeHour_15</t>
  </si>
  <si>
    <t>TimeHour_6</t>
  </si>
  <si>
    <t>TimeHour_19</t>
  </si>
  <si>
    <t>TimeHour_11</t>
  </si>
  <si>
    <t>TimeHour_17</t>
  </si>
  <si>
    <t>TimeHour_10</t>
  </si>
  <si>
    <t>TimeHour_22</t>
  </si>
  <si>
    <t>TimeHour_21</t>
  </si>
  <si>
    <t>TimeHour_4</t>
  </si>
  <si>
    <t>TimeHour_14</t>
  </si>
  <si>
    <t>TimeHour_1</t>
  </si>
  <si>
    <t>TimeHour_16</t>
  </si>
  <si>
    <t>TimeHour_20</t>
  </si>
  <si>
    <t>TimeHour_5</t>
  </si>
  <si>
    <t>TimeHour_2</t>
  </si>
  <si>
    <t>TimeHour_13</t>
  </si>
  <si>
    <t>TimeHour_0</t>
  </si>
  <si>
    <t>TimeHour_23</t>
  </si>
  <si>
    <t>TimeHour_3</t>
  </si>
  <si>
    <t>OR</t>
  </si>
  <si>
    <t>pval</t>
  </si>
  <si>
    <t>Hour</t>
  </si>
  <si>
    <t>Intercept</t>
  </si>
  <si>
    <t>pval_new</t>
  </si>
  <si>
    <t>Consideration</t>
  </si>
  <si>
    <t>%OddsRatio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</si>
</sst>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11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2" fillId="0" borderId="2" xfId="0" applyFont="1" applyBorder="1" applyAlignment="1">
      <alignment vertical="center" wrapText="1"/>
    </xf>
    <xf numFmtId="11" fontId="2" fillId="0" borderId="2" xfId="0" applyNumberFormat="1" applyFont="1" applyBorder="1" applyAlignment="1">
      <alignment vertical="center" wrapText="1"/>
    </xf>
    <xf numFmtId="164" fontId="0" fillId="0" borderId="2" xfId="0" applyNumberFormat="1" applyBorder="1"/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1" fontId="2" fillId="2" borderId="2" xfId="0" applyNumberFormat="1" applyFont="1" applyFill="1" applyBorder="1" applyAlignment="1">
      <alignment vertical="center" wrapText="1"/>
    </xf>
    <xf numFmtId="164" fontId="0" fillId="2" borderId="2" xfId="0" applyNumberFormat="1" applyFill="1" applyBorder="1"/>
    <xf numFmtId="0" fontId="0" fillId="2" borderId="2" xfId="0" applyFill="1" applyBorder="1"/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1" fontId="2" fillId="3" borderId="2" xfId="0" applyNumberFormat="1" applyFont="1" applyFill="1" applyBorder="1" applyAlignment="1">
      <alignment vertical="center" wrapText="1"/>
    </xf>
    <xf numFmtId="164" fontId="0" fillId="3" borderId="2" xfId="0" applyNumberForma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opLeftCell="A4" workbookViewId="0">
      <selection activeCell="B41" sqref="B41"/>
    </sheetView>
  </sheetViews>
  <sheetFormatPr defaultRowHeight="14.5" x14ac:dyDescent="0.35"/>
  <cols>
    <col min="1" max="1" width="85.6328125" bestFit="1" customWidth="1"/>
    <col min="2" max="2" width="40.1796875" bestFit="1" customWidth="1"/>
    <col min="3" max="4" width="11.81640625" bestFit="1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2" x14ac:dyDescent="0.35">
      <c r="A33" t="s">
        <v>33</v>
      </c>
    </row>
    <row r="34" spans="1:2" x14ac:dyDescent="0.35">
      <c r="A34" t="s">
        <v>34</v>
      </c>
    </row>
    <row r="35" spans="1:2" x14ac:dyDescent="0.35">
      <c r="A35" t="s">
        <v>35</v>
      </c>
    </row>
    <row r="36" spans="1:2" x14ac:dyDescent="0.35">
      <c r="A36" t="s">
        <v>36</v>
      </c>
    </row>
    <row r="37" spans="1:2" x14ac:dyDescent="0.35">
      <c r="A37" t="s">
        <v>37</v>
      </c>
      <c r="B37" t="s">
        <v>38</v>
      </c>
    </row>
    <row r="38" spans="1:2" x14ac:dyDescent="0.35">
      <c r="A38" t="s">
        <v>39</v>
      </c>
      <c r="B38">
        <v>0.79530201342281803</v>
      </c>
    </row>
    <row r="39" spans="1:2" x14ac:dyDescent="0.35">
      <c r="A39" t="s">
        <v>40</v>
      </c>
      <c r="B39">
        <v>0.78612716763005697</v>
      </c>
    </row>
    <row r="40" spans="1:2" x14ac:dyDescent="0.35">
      <c r="A40" t="s">
        <v>41</v>
      </c>
      <c r="B40">
        <v>0.78187403993855598</v>
      </c>
    </row>
    <row r="41" spans="1:2" x14ac:dyDescent="0.35">
      <c r="A41" t="s">
        <v>42</v>
      </c>
      <c r="B41">
        <v>0.772378516624041</v>
      </c>
    </row>
    <row r="42" spans="1:2" x14ac:dyDescent="0.35">
      <c r="A42" t="s">
        <v>43</v>
      </c>
      <c r="B42">
        <v>0.77127659574467999</v>
      </c>
    </row>
    <row r="43" spans="1:2" x14ac:dyDescent="0.35">
      <c r="A43" t="s">
        <v>44</v>
      </c>
      <c r="B43">
        <v>0.76971608832807503</v>
      </c>
    </row>
    <row r="44" spans="1:2" x14ac:dyDescent="0.35">
      <c r="A44" t="s">
        <v>45</v>
      </c>
      <c r="B44">
        <v>0.76881720430107503</v>
      </c>
    </row>
    <row r="45" spans="1:2" x14ac:dyDescent="0.35">
      <c r="A45" t="s">
        <v>46</v>
      </c>
      <c r="B45">
        <v>0.76056338028169002</v>
      </c>
    </row>
    <row r="46" spans="1:2" x14ac:dyDescent="0.35">
      <c r="A46" t="s">
        <v>47</v>
      </c>
      <c r="B46">
        <v>0.75590551181102295</v>
      </c>
    </row>
    <row r="47" spans="1:2" x14ac:dyDescent="0.35">
      <c r="A47" t="s">
        <v>48</v>
      </c>
      <c r="B47">
        <v>0.74457831325301105</v>
      </c>
    </row>
    <row r="48" spans="1:2" x14ac:dyDescent="0.35">
      <c r="A48" t="s">
        <v>49</v>
      </c>
      <c r="B48">
        <v>0.74057649667405701</v>
      </c>
    </row>
    <row r="49" spans="1:4" x14ac:dyDescent="0.35">
      <c r="A49" t="s">
        <v>50</v>
      </c>
      <c r="B49">
        <v>0.74044265593561298</v>
      </c>
    </row>
    <row r="50" spans="1:4" x14ac:dyDescent="0.35">
      <c r="A50" t="s">
        <v>51</v>
      </c>
      <c r="B50">
        <v>0.72641509433962204</v>
      </c>
    </row>
    <row r="51" spans="1:4" x14ac:dyDescent="0.35">
      <c r="A51" t="s">
        <v>52</v>
      </c>
      <c r="B51">
        <v>0.71875</v>
      </c>
    </row>
    <row r="52" spans="1:4" x14ac:dyDescent="0.35">
      <c r="A52" t="s">
        <v>53</v>
      </c>
      <c r="B52">
        <v>0.71102661596958106</v>
      </c>
    </row>
    <row r="53" spans="1:4" x14ac:dyDescent="0.35">
      <c r="A53" t="s">
        <v>54</v>
      </c>
      <c r="B53">
        <v>0.71080139372822304</v>
      </c>
    </row>
    <row r="54" spans="1:4" x14ac:dyDescent="0.35">
      <c r="A54" t="s">
        <v>55</v>
      </c>
      <c r="B54">
        <v>0.70899470899470896</v>
      </c>
    </row>
    <row r="55" spans="1:4" x14ac:dyDescent="0.35">
      <c r="A55" t="s">
        <v>56</v>
      </c>
      <c r="B55">
        <v>0.70270270270270196</v>
      </c>
    </row>
    <row r="56" spans="1:4" x14ac:dyDescent="0.35">
      <c r="A56" t="s">
        <v>57</v>
      </c>
      <c r="B56">
        <v>0.69863013698630105</v>
      </c>
    </row>
    <row r="57" spans="1:4" x14ac:dyDescent="0.35">
      <c r="A57" t="s">
        <v>58</v>
      </c>
      <c r="B57">
        <v>0.69467213114754101</v>
      </c>
    </row>
    <row r="58" spans="1:4" x14ac:dyDescent="0.35">
      <c r="A58" t="s">
        <v>59</v>
      </c>
      <c r="B58">
        <v>0.68732394366197103</v>
      </c>
    </row>
    <row r="59" spans="1:4" x14ac:dyDescent="0.35">
      <c r="A59" t="s">
        <v>60</v>
      </c>
      <c r="B59">
        <v>0.68686868686868596</v>
      </c>
    </row>
    <row r="60" spans="1:4" x14ac:dyDescent="0.35">
      <c r="A60" t="s">
        <v>61</v>
      </c>
      <c r="B60">
        <v>0.66296296296296298</v>
      </c>
    </row>
    <row r="61" spans="1:4" x14ac:dyDescent="0.35">
      <c r="A61" t="s">
        <v>62</v>
      </c>
      <c r="B61" s="1">
        <v>2.5000000000000001E-2</v>
      </c>
      <c r="C61" s="1">
        <v>0.97499999999999998</v>
      </c>
      <c r="D61" t="s">
        <v>63</v>
      </c>
    </row>
    <row r="62" spans="1:4" x14ac:dyDescent="0.35">
      <c r="A62">
        <v>2.6991869918699201</v>
      </c>
      <c r="B62">
        <v>2.1947411112995399</v>
      </c>
      <c r="C62">
        <v>3.3195762268132998</v>
      </c>
      <c r="D62" s="2">
        <v>5.1129890348384897E-21</v>
      </c>
    </row>
    <row r="63" spans="1:4" x14ac:dyDescent="0.35">
      <c r="A63">
        <v>1.43941339126999</v>
      </c>
      <c r="B63">
        <v>1.01508413786712</v>
      </c>
      <c r="C63">
        <v>2.0411223401843901</v>
      </c>
      <c r="D63">
        <v>4.0955572598892299E-2</v>
      </c>
    </row>
    <row r="64" spans="1:4" x14ac:dyDescent="0.35">
      <c r="A64">
        <v>1.36177140996418</v>
      </c>
      <c r="B64">
        <v>0.979103777862946</v>
      </c>
      <c r="C64">
        <v>1.89399879249103</v>
      </c>
      <c r="D64">
        <v>6.6579241422569199E-2</v>
      </c>
    </row>
    <row r="65" spans="1:4" x14ac:dyDescent="0.35">
      <c r="A65">
        <v>1.3279950789071699</v>
      </c>
      <c r="B65">
        <v>1.0054737898076</v>
      </c>
      <c r="C65">
        <v>1.7539700661308399</v>
      </c>
      <c r="D65">
        <v>4.5671040026803798E-2</v>
      </c>
    </row>
    <row r="66" spans="1:4" x14ac:dyDescent="0.35">
      <c r="A66">
        <v>1.25714092324353</v>
      </c>
      <c r="B66">
        <v>0.91823590744657402</v>
      </c>
      <c r="C66">
        <v>1.7211299275895</v>
      </c>
      <c r="D66">
        <v>0.15336066957997199</v>
      </c>
    </row>
    <row r="67" spans="1:4" x14ac:dyDescent="0.35">
      <c r="A67">
        <v>1.24929952367609</v>
      </c>
      <c r="B67">
        <v>0.93918351596361205</v>
      </c>
      <c r="C67">
        <v>1.6618150482081</v>
      </c>
      <c r="D67">
        <v>0.12627391163423701</v>
      </c>
    </row>
    <row r="68" spans="1:4" x14ac:dyDescent="0.35">
      <c r="A68">
        <v>1.23832315563624</v>
      </c>
      <c r="B68">
        <v>0.88722102656851698</v>
      </c>
      <c r="C68">
        <v>1.7283677819446599</v>
      </c>
      <c r="D68">
        <v>0.20891632888834</v>
      </c>
    </row>
    <row r="69" spans="1:4" x14ac:dyDescent="0.35">
      <c r="A69">
        <v>1.23206780610815</v>
      </c>
      <c r="B69">
        <v>0.926028889826915</v>
      </c>
      <c r="C69">
        <v>1.6392480791089299</v>
      </c>
      <c r="D69">
        <v>0.15200968026304801</v>
      </c>
    </row>
    <row r="70" spans="1:4" x14ac:dyDescent="0.35">
      <c r="A70">
        <v>1.1768249468462</v>
      </c>
      <c r="B70">
        <v>0.86847058819697998</v>
      </c>
      <c r="C70">
        <v>1.59466189683496</v>
      </c>
      <c r="D70">
        <v>0.29358530671607003</v>
      </c>
    </row>
    <row r="71" spans="1:4" x14ac:dyDescent="0.35">
      <c r="A71">
        <v>1.1472988729109901</v>
      </c>
      <c r="B71">
        <v>0.87151380361896302</v>
      </c>
      <c r="C71">
        <v>1.51035439521087</v>
      </c>
      <c r="D71">
        <v>0.32729422560417498</v>
      </c>
    </row>
    <row r="72" spans="1:4" x14ac:dyDescent="0.35">
      <c r="A72">
        <v>1.07998977040236</v>
      </c>
      <c r="B72">
        <v>0.79812080364710203</v>
      </c>
      <c r="C72">
        <v>1.4614052144034499</v>
      </c>
      <c r="D72">
        <v>0.61800927548907303</v>
      </c>
    </row>
    <row r="73" spans="1:4" x14ac:dyDescent="0.35">
      <c r="A73">
        <v>1.0576150756873599</v>
      </c>
      <c r="B73">
        <v>0.78727923347282902</v>
      </c>
      <c r="C73">
        <v>1.4207788047286101</v>
      </c>
      <c r="D73">
        <v>0.709943279585876</v>
      </c>
    </row>
    <row r="74" spans="1:4" x14ac:dyDescent="0.35">
      <c r="A74">
        <v>1.05687867750069</v>
      </c>
      <c r="B74">
        <v>0.79230316479427398</v>
      </c>
      <c r="C74">
        <v>1.4098044644888601</v>
      </c>
      <c r="D74">
        <v>0.70669047488118297</v>
      </c>
    </row>
    <row r="75" spans="1:4" x14ac:dyDescent="0.35">
      <c r="A75">
        <v>0.98369339426671998</v>
      </c>
      <c r="B75">
        <v>0.61204697530013097</v>
      </c>
      <c r="C75">
        <v>1.5810104991524001</v>
      </c>
      <c r="D75">
        <v>0.94585700849098797</v>
      </c>
    </row>
    <row r="76" spans="1:4" x14ac:dyDescent="0.35">
      <c r="A76">
        <v>0.94678714859437596</v>
      </c>
      <c r="B76">
        <v>0.71641927345661804</v>
      </c>
      <c r="C76">
        <v>1.25123086152951</v>
      </c>
      <c r="D76">
        <v>0.70068554797023896</v>
      </c>
    </row>
    <row r="77" spans="1:4" x14ac:dyDescent="0.35">
      <c r="A77">
        <v>0.91158053265694206</v>
      </c>
      <c r="B77">
        <v>0.65047564992502105</v>
      </c>
      <c r="C77">
        <v>1.2774945036219201</v>
      </c>
      <c r="D77">
        <v>0.59081806344029797</v>
      </c>
    </row>
    <row r="78" spans="1:4" x14ac:dyDescent="0.35">
      <c r="A78">
        <v>0.91058208738568602</v>
      </c>
      <c r="B78">
        <v>0.69198804425879101</v>
      </c>
      <c r="C78">
        <v>1.1982284155730001</v>
      </c>
      <c r="D78">
        <v>0.503631547801066</v>
      </c>
    </row>
    <row r="79" spans="1:4" x14ac:dyDescent="0.35">
      <c r="A79">
        <v>0.90262869660459899</v>
      </c>
      <c r="B79">
        <v>0.68559356140374095</v>
      </c>
      <c r="C79">
        <v>1.1883696256801899</v>
      </c>
      <c r="D79">
        <v>0.465351633142842</v>
      </c>
    </row>
    <row r="80" spans="1:4" x14ac:dyDescent="0.35">
      <c r="A80">
        <v>0.87568455640744702</v>
      </c>
      <c r="B80">
        <v>0.60059241347949899</v>
      </c>
      <c r="C80">
        <v>1.27677843595785</v>
      </c>
      <c r="D80">
        <v>0.49020711024368302</v>
      </c>
    </row>
    <row r="81" spans="1:4" x14ac:dyDescent="0.35">
      <c r="A81">
        <v>0.85884446878422704</v>
      </c>
      <c r="B81">
        <v>0.62086293234208201</v>
      </c>
      <c r="C81">
        <v>1.1880461582377899</v>
      </c>
      <c r="D81">
        <v>0.35801842668830203</v>
      </c>
    </row>
    <row r="82" spans="1:4" x14ac:dyDescent="0.35">
      <c r="A82">
        <v>0.84290854693943496</v>
      </c>
      <c r="B82">
        <v>0.63534324595261005</v>
      </c>
      <c r="C82">
        <v>1.11828499481136</v>
      </c>
      <c r="D82">
        <v>0.23607296325343399</v>
      </c>
    </row>
    <row r="83" spans="1:4" x14ac:dyDescent="0.35">
      <c r="A83">
        <v>0.81439270595896995</v>
      </c>
      <c r="B83">
        <v>0.600181544906075</v>
      </c>
      <c r="C83">
        <v>1.10505810308273</v>
      </c>
      <c r="D83">
        <v>0.18735251456872801</v>
      </c>
    </row>
    <row r="84" spans="1:4" x14ac:dyDescent="0.35">
      <c r="A84">
        <v>0.812670034978623</v>
      </c>
      <c r="B84">
        <v>0.60415945024970896</v>
      </c>
      <c r="C84">
        <v>1.0931428540581201</v>
      </c>
      <c r="D84">
        <v>0.17029941756974801</v>
      </c>
    </row>
    <row r="85" spans="1:4" x14ac:dyDescent="0.35">
      <c r="A85">
        <v>0.72875016549715199</v>
      </c>
      <c r="B85">
        <v>0.52585396992185696</v>
      </c>
      <c r="C85">
        <v>1.0099320991929399</v>
      </c>
      <c r="D85">
        <v>5.7354269617626297E-2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015D-AE55-4D5A-8304-942B29386730}">
  <dimension ref="A1:B24"/>
  <sheetViews>
    <sheetView tabSelected="1" workbookViewId="0">
      <selection activeCell="F12" sqref="F12"/>
    </sheetView>
  </sheetViews>
  <sheetFormatPr defaultRowHeight="14.5" x14ac:dyDescent="0.35"/>
  <cols>
    <col min="1" max="1" width="24.36328125" customWidth="1"/>
    <col min="2" max="2" width="18.453125" customWidth="1"/>
  </cols>
  <sheetData>
    <row r="1" spans="1:2" x14ac:dyDescent="0.35">
      <c r="A1" s="3" t="s">
        <v>64</v>
      </c>
      <c r="B1" s="3" t="s">
        <v>38</v>
      </c>
    </row>
    <row r="2" spans="1:2" x14ac:dyDescent="0.35">
      <c r="A2" s="4" t="s">
        <v>39</v>
      </c>
      <c r="B2" s="4">
        <v>0.79530199999999995</v>
      </c>
    </row>
    <row r="3" spans="1:2" x14ac:dyDescent="0.35">
      <c r="A3" s="4" t="s">
        <v>40</v>
      </c>
      <c r="B3" s="4">
        <v>0.78612700000000002</v>
      </c>
    </row>
    <row r="4" spans="1:2" x14ac:dyDescent="0.35">
      <c r="A4" s="4" t="s">
        <v>41</v>
      </c>
      <c r="B4" s="4">
        <v>0.78187399999999996</v>
      </c>
    </row>
    <row r="5" spans="1:2" x14ac:dyDescent="0.35">
      <c r="A5" s="4" t="s">
        <v>42</v>
      </c>
      <c r="B5" s="4">
        <v>0.77237900000000004</v>
      </c>
    </row>
    <row r="6" spans="1:2" x14ac:dyDescent="0.35">
      <c r="A6" s="4" t="s">
        <v>43</v>
      </c>
      <c r="B6" s="4">
        <v>0.77127699999999999</v>
      </c>
    </row>
    <row r="7" spans="1:2" x14ac:dyDescent="0.35">
      <c r="A7" s="4" t="s">
        <v>44</v>
      </c>
      <c r="B7" s="4">
        <v>0.76971599999999996</v>
      </c>
    </row>
    <row r="8" spans="1:2" x14ac:dyDescent="0.35">
      <c r="A8" s="4" t="s">
        <v>45</v>
      </c>
      <c r="B8" s="4">
        <v>0.76881699999999997</v>
      </c>
    </row>
    <row r="9" spans="1:2" x14ac:dyDescent="0.35">
      <c r="A9" s="4" t="s">
        <v>46</v>
      </c>
      <c r="B9" s="4">
        <v>0.76056299999999999</v>
      </c>
    </row>
    <row r="10" spans="1:2" x14ac:dyDescent="0.35">
      <c r="A10" s="4" t="s">
        <v>47</v>
      </c>
      <c r="B10" s="4">
        <v>0.75590599999999997</v>
      </c>
    </row>
    <row r="11" spans="1:2" x14ac:dyDescent="0.35">
      <c r="A11" s="4" t="s">
        <v>48</v>
      </c>
      <c r="B11" s="4">
        <v>0.74457799999999996</v>
      </c>
    </row>
    <row r="12" spans="1:2" x14ac:dyDescent="0.35">
      <c r="A12" s="4" t="s">
        <v>49</v>
      </c>
      <c r="B12" s="4">
        <v>0.74057600000000001</v>
      </c>
    </row>
    <row r="13" spans="1:2" x14ac:dyDescent="0.35">
      <c r="A13" s="4" t="s">
        <v>50</v>
      </c>
      <c r="B13" s="4">
        <v>0.74044299999999996</v>
      </c>
    </row>
    <row r="14" spans="1:2" x14ac:dyDescent="0.35">
      <c r="A14" s="4" t="s">
        <v>51</v>
      </c>
      <c r="B14" s="4">
        <v>0.72641500000000003</v>
      </c>
    </row>
    <row r="15" spans="1:2" x14ac:dyDescent="0.35">
      <c r="A15" s="4" t="s">
        <v>52</v>
      </c>
      <c r="B15" s="4">
        <v>0.71875</v>
      </c>
    </row>
    <row r="16" spans="1:2" x14ac:dyDescent="0.35">
      <c r="A16" s="4" t="s">
        <v>53</v>
      </c>
      <c r="B16" s="4">
        <v>0.71102699999999996</v>
      </c>
    </row>
    <row r="17" spans="1:2" x14ac:dyDescent="0.35">
      <c r="A17" s="4" t="s">
        <v>54</v>
      </c>
      <c r="B17" s="4">
        <v>0.71080100000000002</v>
      </c>
    </row>
    <row r="18" spans="1:2" x14ac:dyDescent="0.35">
      <c r="A18" s="4" t="s">
        <v>55</v>
      </c>
      <c r="B18" s="4">
        <v>0.70899500000000004</v>
      </c>
    </row>
    <row r="19" spans="1:2" x14ac:dyDescent="0.35">
      <c r="A19" s="4" t="s">
        <v>56</v>
      </c>
      <c r="B19" s="4">
        <v>0.70270299999999997</v>
      </c>
    </row>
    <row r="20" spans="1:2" x14ac:dyDescent="0.35">
      <c r="A20" s="4" t="s">
        <v>57</v>
      </c>
      <c r="B20" s="4">
        <v>0.69862999999999997</v>
      </c>
    </row>
    <row r="21" spans="1:2" x14ac:dyDescent="0.35">
      <c r="A21" s="4" t="s">
        <v>58</v>
      </c>
      <c r="B21" s="4">
        <v>0.69467199999999996</v>
      </c>
    </row>
    <row r="22" spans="1:2" x14ac:dyDescent="0.35">
      <c r="A22" s="4" t="s">
        <v>59</v>
      </c>
      <c r="B22" s="4">
        <v>0.68732400000000005</v>
      </c>
    </row>
    <row r="23" spans="1:2" x14ac:dyDescent="0.35">
      <c r="A23" s="4" t="s">
        <v>60</v>
      </c>
      <c r="B23" s="4">
        <v>0.68686899999999995</v>
      </c>
    </row>
    <row r="24" spans="1:2" x14ac:dyDescent="0.35">
      <c r="A24" s="4" t="s">
        <v>61</v>
      </c>
      <c r="B24" s="4">
        <v>0.66296299999999997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62C1-EC7A-4C38-87EC-567B741C731B}">
  <dimension ref="A1:H25"/>
  <sheetViews>
    <sheetView workbookViewId="0">
      <selection activeCell="J8" sqref="J8"/>
    </sheetView>
  </sheetViews>
  <sheetFormatPr defaultRowHeight="14.5" x14ac:dyDescent="0.35"/>
  <cols>
    <col min="1" max="1" width="16.6328125" style="11" customWidth="1"/>
    <col min="2" max="4" width="7.6328125" style="11" bestFit="1" customWidth="1"/>
    <col min="5" max="5" width="7.26953125" style="11" bestFit="1" customWidth="1"/>
    <col min="6" max="6" width="22.54296875" style="11" customWidth="1"/>
    <col min="7" max="7" width="12.453125" style="11" bestFit="1" customWidth="1"/>
    <col min="8" max="8" width="10.90625" style="11" bestFit="1" customWidth="1"/>
    <col min="9" max="16384" width="8.7265625" style="11"/>
  </cols>
  <sheetData>
    <row r="1" spans="1:8" s="7" customFormat="1" x14ac:dyDescent="0.35">
      <c r="A1" s="5"/>
      <c r="B1" s="5" t="s">
        <v>62</v>
      </c>
      <c r="C1" s="6">
        <v>2.5000000000000001E-2</v>
      </c>
      <c r="D1" s="6">
        <v>0.97499999999999998</v>
      </c>
      <c r="E1" s="5" t="s">
        <v>63</v>
      </c>
      <c r="F1" s="7" t="s">
        <v>66</v>
      </c>
      <c r="G1" s="7" t="s">
        <v>67</v>
      </c>
      <c r="H1" s="7" t="s">
        <v>68</v>
      </c>
    </row>
    <row r="2" spans="1:8" x14ac:dyDescent="0.35">
      <c r="A2" s="5" t="s">
        <v>65</v>
      </c>
      <c r="B2" s="8">
        <v>2.6991869999999998</v>
      </c>
      <c r="C2" s="8">
        <v>2.1947410000000001</v>
      </c>
      <c r="D2" s="8">
        <v>3.3195760000000001</v>
      </c>
      <c r="E2" s="9">
        <v>5.1129889999999998E-21</v>
      </c>
      <c r="F2" s="10">
        <f>E2*1</f>
        <v>5.1129889999999998E-21</v>
      </c>
      <c r="G2" s="11" t="str">
        <f>IF(F2&lt;0.01, "Very Strong", IF(F2&lt;0.05, "Strong", IF(F2&lt;0.1,"Moderate","Little Evidence")))</f>
        <v>Very Strong</v>
      </c>
      <c r="H2" s="11">
        <f>(B2-1)*100</f>
        <v>169.91869999999997</v>
      </c>
    </row>
    <row r="3" spans="1:8" s="16" customFormat="1" x14ac:dyDescent="0.35">
      <c r="A3" s="12" t="s">
        <v>39</v>
      </c>
      <c r="B3" s="13">
        <v>1.4394130000000001</v>
      </c>
      <c r="C3" s="13">
        <v>1.0150840000000001</v>
      </c>
      <c r="D3" s="13">
        <v>2.0411220000000001</v>
      </c>
      <c r="E3" s="14">
        <v>4.0955569999999997E-2</v>
      </c>
      <c r="F3" s="15">
        <f t="shared" ref="F3:F25" si="0">E3*1</f>
        <v>4.0955569999999997E-2</v>
      </c>
      <c r="G3" s="16" t="str">
        <f t="shared" ref="G3:G25" si="1">IF(F3&lt;0.01, "Very Strong", IF(F3&lt;0.05, "Strong", IF(F3&lt;0.1,"Moderate","Little Evidence")))</f>
        <v>Strong</v>
      </c>
      <c r="H3" s="16">
        <f t="shared" ref="H3:H25" si="2">(B3-1)*100</f>
        <v>43.941300000000005</v>
      </c>
    </row>
    <row r="4" spans="1:8" s="21" customFormat="1" x14ac:dyDescent="0.35">
      <c r="A4" s="17" t="s">
        <v>40</v>
      </c>
      <c r="B4" s="18">
        <v>1.3617710000000001</v>
      </c>
      <c r="C4" s="18">
        <v>0.97910399999999997</v>
      </c>
      <c r="D4" s="18">
        <v>1.893999</v>
      </c>
      <c r="E4" s="19">
        <v>6.6579239999999998E-2</v>
      </c>
      <c r="F4" s="20">
        <f t="shared" si="0"/>
        <v>6.6579239999999998E-2</v>
      </c>
      <c r="G4" s="21" t="str">
        <f t="shared" si="1"/>
        <v>Moderate</v>
      </c>
      <c r="H4" s="21">
        <f t="shared" si="2"/>
        <v>36.17710000000001</v>
      </c>
    </row>
    <row r="5" spans="1:8" s="16" customFormat="1" x14ac:dyDescent="0.35">
      <c r="A5" s="12" t="s">
        <v>41</v>
      </c>
      <c r="B5" s="13">
        <v>1.327995</v>
      </c>
      <c r="C5" s="13">
        <v>1.005474</v>
      </c>
      <c r="D5" s="13">
        <v>1.75397</v>
      </c>
      <c r="E5" s="14">
        <v>4.5671040000000003E-2</v>
      </c>
      <c r="F5" s="15">
        <f t="shared" si="0"/>
        <v>4.5671040000000003E-2</v>
      </c>
      <c r="G5" s="16" t="str">
        <f t="shared" si="1"/>
        <v>Strong</v>
      </c>
      <c r="H5" s="16">
        <f t="shared" si="2"/>
        <v>32.799500000000002</v>
      </c>
    </row>
    <row r="6" spans="1:8" s="21" customFormat="1" x14ac:dyDescent="0.35">
      <c r="A6" s="17" t="s">
        <v>42</v>
      </c>
      <c r="B6" s="18">
        <v>1.2571410000000001</v>
      </c>
      <c r="C6" s="18">
        <v>0.91823600000000005</v>
      </c>
      <c r="D6" s="18">
        <v>1.72113</v>
      </c>
      <c r="E6" s="19">
        <v>0.15336069999999999</v>
      </c>
      <c r="F6" s="20">
        <f t="shared" si="0"/>
        <v>0.15336069999999999</v>
      </c>
      <c r="G6" s="21" t="str">
        <f t="shared" si="1"/>
        <v>Little Evidence</v>
      </c>
      <c r="H6" s="21">
        <f t="shared" si="2"/>
        <v>25.714100000000006</v>
      </c>
    </row>
    <row r="7" spans="1:8" s="21" customFormat="1" x14ac:dyDescent="0.35">
      <c r="A7" s="17" t="s">
        <v>43</v>
      </c>
      <c r="B7" s="18">
        <v>1.2493000000000001</v>
      </c>
      <c r="C7" s="18">
        <v>0.93918400000000002</v>
      </c>
      <c r="D7" s="18">
        <v>1.661815</v>
      </c>
      <c r="E7" s="19">
        <v>0.12627389999999999</v>
      </c>
      <c r="F7" s="20">
        <f t="shared" si="0"/>
        <v>0.12627389999999999</v>
      </c>
      <c r="G7" s="21" t="str">
        <f t="shared" si="1"/>
        <v>Little Evidence</v>
      </c>
      <c r="H7" s="21">
        <f t="shared" si="2"/>
        <v>24.930000000000007</v>
      </c>
    </row>
    <row r="8" spans="1:8" s="21" customFormat="1" x14ac:dyDescent="0.35">
      <c r="A8" s="17" t="s">
        <v>44</v>
      </c>
      <c r="B8" s="18">
        <v>1.2383230000000001</v>
      </c>
      <c r="C8" s="18">
        <v>0.88722100000000004</v>
      </c>
      <c r="D8" s="18">
        <v>1.7283679999999999</v>
      </c>
      <c r="E8" s="19">
        <v>0.2089163</v>
      </c>
      <c r="F8" s="20">
        <f t="shared" si="0"/>
        <v>0.2089163</v>
      </c>
      <c r="G8" s="21" t="str">
        <f t="shared" si="1"/>
        <v>Little Evidence</v>
      </c>
      <c r="H8" s="21">
        <f t="shared" si="2"/>
        <v>23.832300000000007</v>
      </c>
    </row>
    <row r="9" spans="1:8" s="21" customFormat="1" x14ac:dyDescent="0.35">
      <c r="A9" s="17" t="s">
        <v>45</v>
      </c>
      <c r="B9" s="18">
        <v>1.2320679999999999</v>
      </c>
      <c r="C9" s="18">
        <v>0.92602899999999999</v>
      </c>
      <c r="D9" s="18">
        <v>1.639248</v>
      </c>
      <c r="E9" s="19">
        <v>0.1520097</v>
      </c>
      <c r="F9" s="20">
        <f t="shared" si="0"/>
        <v>0.1520097</v>
      </c>
      <c r="G9" s="21" t="str">
        <f t="shared" si="1"/>
        <v>Little Evidence</v>
      </c>
      <c r="H9" s="21">
        <f t="shared" si="2"/>
        <v>23.206799999999994</v>
      </c>
    </row>
    <row r="10" spans="1:8" s="21" customFormat="1" x14ac:dyDescent="0.35">
      <c r="A10" s="17" t="s">
        <v>46</v>
      </c>
      <c r="B10" s="18">
        <v>1.176825</v>
      </c>
      <c r="C10" s="18">
        <v>0.86847099999999999</v>
      </c>
      <c r="D10" s="18">
        <v>1.594662</v>
      </c>
      <c r="E10" s="19">
        <v>0.29358529999999999</v>
      </c>
      <c r="F10" s="20">
        <f t="shared" si="0"/>
        <v>0.29358529999999999</v>
      </c>
      <c r="G10" s="21" t="str">
        <f t="shared" si="1"/>
        <v>Little Evidence</v>
      </c>
      <c r="H10" s="21">
        <f t="shared" si="2"/>
        <v>17.682500000000001</v>
      </c>
    </row>
    <row r="11" spans="1:8" s="21" customFormat="1" x14ac:dyDescent="0.35">
      <c r="A11" s="17" t="s">
        <v>47</v>
      </c>
      <c r="B11" s="18">
        <v>1.1472990000000001</v>
      </c>
      <c r="C11" s="18">
        <v>0.87151400000000001</v>
      </c>
      <c r="D11" s="18">
        <v>1.510354</v>
      </c>
      <c r="E11" s="19">
        <v>0.32729419999999998</v>
      </c>
      <c r="F11" s="20">
        <f t="shared" si="0"/>
        <v>0.32729419999999998</v>
      </c>
      <c r="G11" s="21" t="str">
        <f t="shared" si="1"/>
        <v>Little Evidence</v>
      </c>
      <c r="H11" s="21">
        <f t="shared" si="2"/>
        <v>14.729900000000008</v>
      </c>
    </row>
    <row r="12" spans="1:8" s="21" customFormat="1" x14ac:dyDescent="0.35">
      <c r="A12" s="17" t="s">
        <v>48</v>
      </c>
      <c r="B12" s="18">
        <v>1.07999</v>
      </c>
      <c r="C12" s="18">
        <v>0.79812099999999997</v>
      </c>
      <c r="D12" s="18">
        <v>1.4614050000000001</v>
      </c>
      <c r="E12" s="19">
        <v>0.61800929999999998</v>
      </c>
      <c r="F12" s="20">
        <f t="shared" si="0"/>
        <v>0.61800929999999998</v>
      </c>
      <c r="G12" s="21" t="str">
        <f t="shared" si="1"/>
        <v>Little Evidence</v>
      </c>
      <c r="H12" s="21">
        <f t="shared" si="2"/>
        <v>7.9990000000000006</v>
      </c>
    </row>
    <row r="13" spans="1:8" s="21" customFormat="1" x14ac:dyDescent="0.35">
      <c r="A13" s="17" t="s">
        <v>49</v>
      </c>
      <c r="B13" s="18">
        <v>1.057615</v>
      </c>
      <c r="C13" s="18">
        <v>0.78727899999999995</v>
      </c>
      <c r="D13" s="18">
        <v>1.420779</v>
      </c>
      <c r="E13" s="19">
        <v>0.70994330000000005</v>
      </c>
      <c r="F13" s="20">
        <f t="shared" si="0"/>
        <v>0.70994330000000005</v>
      </c>
      <c r="G13" s="21" t="str">
        <f t="shared" si="1"/>
        <v>Little Evidence</v>
      </c>
      <c r="H13" s="21">
        <f t="shared" si="2"/>
        <v>5.7614999999999972</v>
      </c>
    </row>
    <row r="14" spans="1:8" s="21" customFormat="1" x14ac:dyDescent="0.35">
      <c r="A14" s="17" t="s">
        <v>50</v>
      </c>
      <c r="B14" s="18">
        <v>1.0568789999999999</v>
      </c>
      <c r="C14" s="18">
        <v>0.79230299999999998</v>
      </c>
      <c r="D14" s="18">
        <v>1.4098040000000001</v>
      </c>
      <c r="E14" s="19">
        <v>0.7066905</v>
      </c>
      <c r="F14" s="20">
        <f t="shared" si="0"/>
        <v>0.7066905</v>
      </c>
      <c r="G14" s="21" t="str">
        <f t="shared" si="1"/>
        <v>Little Evidence</v>
      </c>
      <c r="H14" s="21">
        <f t="shared" si="2"/>
        <v>5.6878999999999902</v>
      </c>
    </row>
    <row r="15" spans="1:8" s="21" customFormat="1" x14ac:dyDescent="0.35">
      <c r="A15" s="17" t="s">
        <v>51</v>
      </c>
      <c r="B15" s="18">
        <v>0.98369300000000004</v>
      </c>
      <c r="C15" s="18">
        <v>0.61204700000000001</v>
      </c>
      <c r="D15" s="18">
        <v>1.58101</v>
      </c>
      <c r="E15" s="19">
        <v>0.94585699999999995</v>
      </c>
      <c r="F15" s="20">
        <f t="shared" si="0"/>
        <v>0.94585699999999995</v>
      </c>
      <c r="G15" s="21" t="str">
        <f t="shared" si="1"/>
        <v>Little Evidence</v>
      </c>
      <c r="H15" s="21">
        <f t="shared" si="2"/>
        <v>-1.630699999999996</v>
      </c>
    </row>
    <row r="16" spans="1:8" s="21" customFormat="1" x14ac:dyDescent="0.35">
      <c r="A16" s="17" t="s">
        <v>52</v>
      </c>
      <c r="B16" s="18">
        <v>0.94678700000000005</v>
      </c>
      <c r="C16" s="18">
        <v>0.71641900000000003</v>
      </c>
      <c r="D16" s="18">
        <v>1.251231</v>
      </c>
      <c r="E16" s="19">
        <v>0.70068549999999996</v>
      </c>
      <c r="F16" s="20">
        <f t="shared" si="0"/>
        <v>0.70068549999999996</v>
      </c>
      <c r="G16" s="21" t="str">
        <f t="shared" si="1"/>
        <v>Little Evidence</v>
      </c>
      <c r="H16" s="21">
        <f t="shared" si="2"/>
        <v>-5.3212999999999955</v>
      </c>
    </row>
    <row r="17" spans="1:8" s="21" customFormat="1" x14ac:dyDescent="0.35">
      <c r="A17" s="17" t="s">
        <v>53</v>
      </c>
      <c r="B17" s="18">
        <v>0.91158099999999997</v>
      </c>
      <c r="C17" s="18">
        <v>0.65047600000000005</v>
      </c>
      <c r="D17" s="18">
        <v>1.277495</v>
      </c>
      <c r="E17" s="19">
        <v>0.59081810000000001</v>
      </c>
      <c r="F17" s="20">
        <f t="shared" si="0"/>
        <v>0.59081810000000001</v>
      </c>
      <c r="G17" s="21" t="str">
        <f t="shared" si="1"/>
        <v>Little Evidence</v>
      </c>
      <c r="H17" s="21">
        <f t="shared" si="2"/>
        <v>-8.8419000000000025</v>
      </c>
    </row>
    <row r="18" spans="1:8" s="21" customFormat="1" x14ac:dyDescent="0.35">
      <c r="A18" s="17" t="s">
        <v>54</v>
      </c>
      <c r="B18" s="18">
        <v>0.910582</v>
      </c>
      <c r="C18" s="18">
        <v>0.69198800000000005</v>
      </c>
      <c r="D18" s="18">
        <v>1.1982280000000001</v>
      </c>
      <c r="E18" s="19">
        <v>0.50363150000000001</v>
      </c>
      <c r="F18" s="20">
        <f t="shared" si="0"/>
        <v>0.50363150000000001</v>
      </c>
      <c r="G18" s="21" t="str">
        <f t="shared" si="1"/>
        <v>Little Evidence</v>
      </c>
      <c r="H18" s="21">
        <f t="shared" si="2"/>
        <v>-8.9418000000000006</v>
      </c>
    </row>
    <row r="19" spans="1:8" s="21" customFormat="1" x14ac:dyDescent="0.35">
      <c r="A19" s="17" t="s">
        <v>55</v>
      </c>
      <c r="B19" s="18">
        <v>0.90262900000000001</v>
      </c>
      <c r="C19" s="18">
        <v>0.68559400000000004</v>
      </c>
      <c r="D19" s="18">
        <v>1.1883699999999999</v>
      </c>
      <c r="E19" s="19">
        <v>0.46535159999999998</v>
      </c>
      <c r="F19" s="20">
        <f t="shared" si="0"/>
        <v>0.46535159999999998</v>
      </c>
      <c r="G19" s="21" t="str">
        <f t="shared" si="1"/>
        <v>Little Evidence</v>
      </c>
      <c r="H19" s="21">
        <f t="shared" si="2"/>
        <v>-9.7370999999999981</v>
      </c>
    </row>
    <row r="20" spans="1:8" s="21" customFormat="1" x14ac:dyDescent="0.35">
      <c r="A20" s="17" t="s">
        <v>56</v>
      </c>
      <c r="B20" s="18">
        <v>0.87568500000000005</v>
      </c>
      <c r="C20" s="18">
        <v>0.60059200000000001</v>
      </c>
      <c r="D20" s="18">
        <v>1.276778</v>
      </c>
      <c r="E20" s="19">
        <v>0.49020710000000001</v>
      </c>
      <c r="F20" s="20">
        <f t="shared" si="0"/>
        <v>0.49020710000000001</v>
      </c>
      <c r="G20" s="21" t="str">
        <f t="shared" si="1"/>
        <v>Little Evidence</v>
      </c>
      <c r="H20" s="21">
        <f t="shared" si="2"/>
        <v>-12.431499999999996</v>
      </c>
    </row>
    <row r="21" spans="1:8" s="21" customFormat="1" x14ac:dyDescent="0.35">
      <c r="A21" s="17" t="s">
        <v>57</v>
      </c>
      <c r="B21" s="18">
        <v>0.85884400000000005</v>
      </c>
      <c r="C21" s="18">
        <v>0.62086300000000005</v>
      </c>
      <c r="D21" s="18">
        <v>1.1880459999999999</v>
      </c>
      <c r="E21" s="19">
        <v>0.35801840000000001</v>
      </c>
      <c r="F21" s="20">
        <f t="shared" si="0"/>
        <v>0.35801840000000001</v>
      </c>
      <c r="G21" s="21" t="str">
        <f t="shared" si="1"/>
        <v>Little Evidence</v>
      </c>
      <c r="H21" s="21">
        <f t="shared" si="2"/>
        <v>-14.115599999999995</v>
      </c>
    </row>
    <row r="22" spans="1:8" s="21" customFormat="1" x14ac:dyDescent="0.35">
      <c r="A22" s="17" t="s">
        <v>58</v>
      </c>
      <c r="B22" s="18">
        <v>0.84290900000000002</v>
      </c>
      <c r="C22" s="18">
        <v>0.63534299999999999</v>
      </c>
      <c r="D22" s="18">
        <v>1.118285</v>
      </c>
      <c r="E22" s="19">
        <v>0.23607300000000001</v>
      </c>
      <c r="F22" s="20">
        <f t="shared" si="0"/>
        <v>0.23607300000000001</v>
      </c>
      <c r="G22" s="21" t="str">
        <f t="shared" si="1"/>
        <v>Little Evidence</v>
      </c>
      <c r="H22" s="21">
        <f t="shared" si="2"/>
        <v>-15.709099999999998</v>
      </c>
    </row>
    <row r="23" spans="1:8" s="21" customFormat="1" x14ac:dyDescent="0.35">
      <c r="A23" s="17" t="s">
        <v>59</v>
      </c>
      <c r="B23" s="18">
        <v>0.81439300000000003</v>
      </c>
      <c r="C23" s="18">
        <v>0.60018199999999999</v>
      </c>
      <c r="D23" s="18">
        <v>1.1050580000000001</v>
      </c>
      <c r="E23" s="19">
        <v>0.18735250000000001</v>
      </c>
      <c r="F23" s="20">
        <f t="shared" si="0"/>
        <v>0.18735250000000001</v>
      </c>
      <c r="G23" s="21" t="str">
        <f t="shared" si="1"/>
        <v>Little Evidence</v>
      </c>
      <c r="H23" s="21">
        <f t="shared" si="2"/>
        <v>-18.560699999999997</v>
      </c>
    </row>
    <row r="24" spans="1:8" s="21" customFormat="1" x14ac:dyDescent="0.35">
      <c r="A24" s="17" t="s">
        <v>60</v>
      </c>
      <c r="B24" s="18">
        <v>0.81267</v>
      </c>
      <c r="C24" s="18">
        <v>0.604159</v>
      </c>
      <c r="D24" s="18">
        <v>1.093143</v>
      </c>
      <c r="E24" s="19">
        <v>0.17029939999999999</v>
      </c>
      <c r="F24" s="20">
        <f t="shared" si="0"/>
        <v>0.17029939999999999</v>
      </c>
      <c r="G24" s="21" t="str">
        <f t="shared" si="1"/>
        <v>Little Evidence</v>
      </c>
      <c r="H24" s="21">
        <f t="shared" si="2"/>
        <v>-18.733000000000001</v>
      </c>
    </row>
    <row r="25" spans="1:8" s="21" customFormat="1" x14ac:dyDescent="0.35">
      <c r="A25" s="17" t="s">
        <v>61</v>
      </c>
      <c r="B25" s="18">
        <v>0.72875000000000001</v>
      </c>
      <c r="C25" s="18">
        <v>0.52585400000000004</v>
      </c>
      <c r="D25" s="18">
        <v>1.0099320000000001</v>
      </c>
      <c r="E25" s="19">
        <v>5.7354269999999999E-2</v>
      </c>
      <c r="F25" s="20">
        <f t="shared" si="0"/>
        <v>5.7354269999999999E-2</v>
      </c>
      <c r="G25" s="21" t="str">
        <f t="shared" si="1"/>
        <v>Moderate</v>
      </c>
      <c r="H25" s="21">
        <f t="shared" si="2"/>
        <v>-27.125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PredProb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2015-06-05T18:17:20Z</dcterms:created>
  <dcterms:modified xsi:type="dcterms:W3CDTF">2025-10-06T18:30:37Z</dcterms:modified>
</cp:coreProperties>
</file>