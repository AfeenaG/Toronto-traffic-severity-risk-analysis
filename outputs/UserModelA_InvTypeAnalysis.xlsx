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een\Documents\MBAI\Business Analytics\FlaskProjects\Master Code (BA)\04Regression\User\"/>
    </mc:Choice>
  </mc:AlternateContent>
  <xr:revisionPtr revIDLastSave="0" documentId="13_ncr:1_{7621898B-6025-41B4-98B9-21B3BCF7E4C8}" xr6:coauthVersionLast="47" xr6:coauthVersionMax="47" xr10:uidLastSave="{00000000-0000-0000-0000-000000000000}"/>
  <bookViews>
    <workbookView xWindow="-110" yWindow="-110" windowWidth="19420" windowHeight="10300" xr2:uid="{2719051C-FE27-471C-899A-D17706FD9F42}"/>
  </bookViews>
  <sheets>
    <sheet name="ModelA_Summary" sheetId="1" r:id="rId1"/>
    <sheet name="ModelA_PredProb" sheetId="2" r:id="rId2"/>
    <sheet name="ModelA_OddRat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G13" i="3"/>
  <c r="G14" i="3"/>
  <c r="F3" i="3"/>
  <c r="G3" i="3" s="1"/>
  <c r="F4" i="3"/>
  <c r="G4" i="3" s="1"/>
  <c r="F5" i="3"/>
  <c r="G5" i="3" s="1"/>
  <c r="F6" i="3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F14" i="3"/>
  <c r="F15" i="3"/>
  <c r="G15" i="3" s="1"/>
  <c r="F2" i="3"/>
  <c r="G2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2" i="3"/>
</calcChain>
</file>

<file path=xl/sharedStrings.xml><?xml version="1.0" encoding="utf-8"?>
<sst xmlns="http://schemas.openxmlformats.org/spreadsheetml/2006/main" count="86" uniqueCount="50">
  <si>
    <t xml:space="preserve">                           Logit Regression Results                           </t>
  </si>
  <si>
    <t>==============================================================================</t>
  </si>
  <si>
    <t>Dep. Variable:           SevereInjury   No. Observations:                10044</t>
  </si>
  <si>
    <t>converged:                      False   LL-Null:                       -5781.3</t>
  </si>
  <si>
    <t>PredProb_Severe</t>
  </si>
  <si>
    <t>UserInvType_Wheelchair</t>
  </si>
  <si>
    <t>UserInvType_In_Line_Skater</t>
  </si>
  <si>
    <t>UserInvType_Moped_Passenger</t>
  </si>
  <si>
    <t>UserInvType_Cyclist</t>
  </si>
  <si>
    <t>UserInvType_Motorcycle_Driver</t>
  </si>
  <si>
    <t>UserInvType_Moped_Driver</t>
  </si>
  <si>
    <t>UserInvType_Pedestrian</t>
  </si>
  <si>
    <t>UserInvType_Motorcycle_Passenger</t>
  </si>
  <si>
    <t>UserInvType_Cyclist_Passenger</t>
  </si>
  <si>
    <t>UserInvType_Passenger</t>
  </si>
  <si>
    <t>UserInvType_Truck_Driver</t>
  </si>
  <si>
    <t>UserInvType_Other</t>
  </si>
  <si>
    <t>UserInvType_Driver___Not_Hit</t>
  </si>
  <si>
    <t>OR</t>
  </si>
  <si>
    <t>pval</t>
  </si>
  <si>
    <t>inf</t>
  </si>
  <si>
    <t>Intercept</t>
  </si>
  <si>
    <t>OddOfSevereInjury</t>
  </si>
  <si>
    <t>Consideration</t>
  </si>
  <si>
    <t>pval_new</t>
  </si>
  <si>
    <t>Involvement</t>
  </si>
  <si>
    <t>Model:                          Logit   Df Residuals:                    10030</t>
  </si>
  <si>
    <t>Method:                           MLE   Df Model:                           13</t>
  </si>
  <si>
    <t>Date:                Wed</t>
  </si>
  <si>
    <t xml:space="preserve"> 15 Oct 2025   Pseudo R-squ.:                  0.2347</t>
  </si>
  <si>
    <t>Time:                        05:18:16   Log-Likelihood:                -4424.2</t>
  </si>
  <si>
    <t>Covariance Type:            nonrobust   LLR p-value:                     0.000</t>
  </si>
  <si>
    <t>====================================================================================================</t>
  </si>
  <si>
    <t xml:space="preserve">                                       coef    std err          z      P&gt;|z|      [0.025      0.975]</t>
  </si>
  <si>
    <t>----------------------------------------------------------------------------------------------------</t>
  </si>
  <si>
    <t>Intercept                            0.2967      0.036      8.334      0.000       0.227       0.367</t>
  </si>
  <si>
    <t>UserInvType_Cyclist                  3.5383      0.248     14.284      0.000       3.053       4.024</t>
  </si>
  <si>
    <t>UserInvType_Cyclist_Passenger        0.3964      1.225      0.324      0.746      -2.005       2.798</t>
  </si>
  <si>
    <t>UserInvType_Driver___Not_Hit       -19.7380   1.67e+04     -0.001      0.999   -3.27e+04    3.26e+04</t>
  </si>
  <si>
    <t>UserInvType_In_Line_Skater          20.9339   2.04e+04      0.001      0.999   -3.99e+04       4e+04</t>
  </si>
  <si>
    <t>UserInvType_Moped_Driver             3.0355      1.018      2.981      0.003       1.040       5.031</t>
  </si>
  <si>
    <t>UserInvType_Moped_Passenger         19.1445   1.67e+04      0.001      0.999   -3.26e+04    3.27e+04</t>
  </si>
  <si>
    <t>UserInvType_Motorcycle_Driver        3.1547      0.219     14.375      0.000       2.725       3.585</t>
  </si>
  <si>
    <t>UserInvType_Motorcycle_Passenger     0.5506      0.347      1.587      0.112      -0.129       1.230</t>
  </si>
  <si>
    <t>UserInvType_Other                   -1.2130      0.837     -1.449      0.147      -2.854       0.428</t>
  </si>
  <si>
    <t>UserInvType_Passenger               -0.4065      0.058     -6.989      0.000      -0.521      -0.293</t>
  </si>
  <si>
    <t>UserInvType_Pedestrian               2.6217      0.087     30.039      0.000       2.451       2.793</t>
  </si>
  <si>
    <t>UserInvType_Truck_Driver            -0.6222      0.260     -2.395      0.017      -1.131      -0.113</t>
  </si>
  <si>
    <t>UserInvType_Wheelchair              20.9609      1e+04      0.002      0.998   -1.96e+04    1.97e+04</t>
  </si>
  <si>
    <t>====================================================================================================Involvement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</si>
</sst>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00000000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1" fontId="0" fillId="0" borderId="0" xfId="0" applyNumberFormat="1"/>
    <xf numFmtId="10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65" fontId="1" fillId="2" borderId="2" xfId="0" applyNumberFormat="1" applyFont="1" applyFill="1" applyBorder="1" applyAlignment="1">
      <alignment vertical="center" wrapText="1"/>
    </xf>
    <xf numFmtId="0" fontId="0" fillId="2" borderId="2" xfId="0" applyFill="1" applyBorder="1"/>
    <xf numFmtId="0" fontId="0" fillId="0" borderId="2" xfId="0" applyBorder="1"/>
    <xf numFmtId="0" fontId="2" fillId="3" borderId="2" xfId="0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5" fontId="1" fillId="3" borderId="2" xfId="0" applyNumberFormat="1" applyFont="1" applyFill="1" applyBorder="1" applyAlignment="1">
      <alignment vertical="center" wrapText="1"/>
    </xf>
    <xf numFmtId="0" fontId="0" fillId="3" borderId="2" xfId="0" applyFill="1" applyBorder="1"/>
    <xf numFmtId="164" fontId="0" fillId="0" borderId="2" xfId="0" applyNumberFormat="1" applyBorder="1"/>
    <xf numFmtId="165" fontId="0" fillId="0" borderId="2" xfId="0" applyNumberFormat="1" applyBorder="1"/>
    <xf numFmtId="0" fontId="1" fillId="0" borderId="1" xfId="0" applyFont="1" applyBorder="1" applyAlignment="1">
      <alignment vertical="center" wrapText="1"/>
    </xf>
    <xf numFmtId="11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250F-057E-4108-BBC5-699EF6ECB811}">
  <dimension ref="A1:D76"/>
  <sheetViews>
    <sheetView tabSelected="1" topLeftCell="A30" workbookViewId="0">
      <selection activeCell="A38" sqref="A38"/>
    </sheetView>
  </sheetViews>
  <sheetFormatPr defaultColWidth="22.36328125" defaultRowHeight="14.5" x14ac:dyDescent="0.35"/>
  <cols>
    <col min="1" max="1" width="99.81640625" bestFit="1" customWidth="1"/>
    <col min="2" max="2" width="37.453125" bestFit="1" customWidth="1"/>
    <col min="3" max="3" width="11.81640625" bestFit="1" customWidth="1"/>
    <col min="4" max="4" width="23.90625" customWidth="1"/>
  </cols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26</v>
      </c>
    </row>
    <row r="5" spans="1:2" x14ac:dyDescent="0.35">
      <c r="A5" t="s">
        <v>27</v>
      </c>
    </row>
    <row r="6" spans="1:2" x14ac:dyDescent="0.35">
      <c r="A6" t="s">
        <v>28</v>
      </c>
      <c r="B6" t="s">
        <v>29</v>
      </c>
    </row>
    <row r="7" spans="1:2" x14ac:dyDescent="0.35">
      <c r="A7" t="s">
        <v>30</v>
      </c>
    </row>
    <row r="8" spans="1:2" x14ac:dyDescent="0.35">
      <c r="A8" t="s">
        <v>3</v>
      </c>
    </row>
    <row r="9" spans="1:2" x14ac:dyDescent="0.35">
      <c r="A9" t="s">
        <v>31</v>
      </c>
    </row>
    <row r="10" spans="1:2" x14ac:dyDescent="0.35">
      <c r="A10" t="s">
        <v>32</v>
      </c>
    </row>
    <row r="11" spans="1:2" x14ac:dyDescent="0.35">
      <c r="A11" t="s">
        <v>33</v>
      </c>
    </row>
    <row r="12" spans="1:2" x14ac:dyDescent="0.35">
      <c r="A12" t="s">
        <v>34</v>
      </c>
    </row>
    <row r="13" spans="1:2" x14ac:dyDescent="0.35">
      <c r="A13" t="s">
        <v>35</v>
      </c>
    </row>
    <row r="14" spans="1:2" x14ac:dyDescent="0.35">
      <c r="A14" t="s">
        <v>36</v>
      </c>
    </row>
    <row r="15" spans="1:2" x14ac:dyDescent="0.35">
      <c r="A15" t="s">
        <v>37</v>
      </c>
    </row>
    <row r="16" spans="1:2" x14ac:dyDescent="0.35">
      <c r="A16" t="s">
        <v>38</v>
      </c>
    </row>
    <row r="17" spans="1:2" x14ac:dyDescent="0.35">
      <c r="A17" t="s">
        <v>39</v>
      </c>
    </row>
    <row r="18" spans="1:2" x14ac:dyDescent="0.35">
      <c r="A18" t="s">
        <v>40</v>
      </c>
    </row>
    <row r="19" spans="1:2" x14ac:dyDescent="0.35">
      <c r="A19" t="s">
        <v>41</v>
      </c>
    </row>
    <row r="20" spans="1:2" x14ac:dyDescent="0.35">
      <c r="A20" t="s">
        <v>42</v>
      </c>
    </row>
    <row r="21" spans="1:2" x14ac:dyDescent="0.35">
      <c r="A21" t="s">
        <v>43</v>
      </c>
    </row>
    <row r="22" spans="1:2" x14ac:dyDescent="0.35">
      <c r="A22" t="s">
        <v>44</v>
      </c>
    </row>
    <row r="23" spans="1:2" x14ac:dyDescent="0.35">
      <c r="A23" t="s">
        <v>45</v>
      </c>
    </row>
    <row r="24" spans="1:2" x14ac:dyDescent="0.35">
      <c r="A24" t="s">
        <v>46</v>
      </c>
    </row>
    <row r="25" spans="1:2" x14ac:dyDescent="0.35">
      <c r="A25" t="s">
        <v>47</v>
      </c>
    </row>
    <row r="26" spans="1:2" x14ac:dyDescent="0.35">
      <c r="A26" t="s">
        <v>48</v>
      </c>
    </row>
    <row r="27" spans="1:2" x14ac:dyDescent="0.35">
      <c r="A27" t="s">
        <v>49</v>
      </c>
      <c r="B27" t="s">
        <v>4</v>
      </c>
    </row>
    <row r="28" spans="1:2" x14ac:dyDescent="0.35">
      <c r="A28" t="s">
        <v>5</v>
      </c>
      <c r="B28">
        <v>0.99999999900000003</v>
      </c>
    </row>
    <row r="29" spans="1:2" x14ac:dyDescent="0.35">
      <c r="A29" t="s">
        <v>6</v>
      </c>
      <c r="B29">
        <v>0.99999999900000003</v>
      </c>
    </row>
    <row r="30" spans="1:2" x14ac:dyDescent="0.35">
      <c r="A30" t="s">
        <v>7</v>
      </c>
      <c r="B30">
        <v>0.999999996</v>
      </c>
    </row>
    <row r="31" spans="1:2" x14ac:dyDescent="0.35">
      <c r="A31" t="s">
        <v>8</v>
      </c>
      <c r="B31">
        <v>0.97885572099999996</v>
      </c>
    </row>
    <row r="32" spans="1:2" x14ac:dyDescent="0.35">
      <c r="A32" t="s">
        <v>9</v>
      </c>
      <c r="B32">
        <v>0.96927374300000002</v>
      </c>
    </row>
    <row r="33" spans="1:4" x14ac:dyDescent="0.35">
      <c r="A33" t="s">
        <v>10</v>
      </c>
      <c r="B33">
        <v>0.96551724100000003</v>
      </c>
    </row>
    <row r="34" spans="1:4" x14ac:dyDescent="0.35">
      <c r="A34" t="s">
        <v>11</v>
      </c>
      <c r="B34">
        <v>0.94874961400000002</v>
      </c>
    </row>
    <row r="35" spans="1:4" x14ac:dyDescent="0.35">
      <c r="A35" t="s">
        <v>12</v>
      </c>
      <c r="B35">
        <v>0.7</v>
      </c>
    </row>
    <row r="36" spans="1:4" x14ac:dyDescent="0.35">
      <c r="A36" t="s">
        <v>13</v>
      </c>
      <c r="B36">
        <v>0.66666666699999999</v>
      </c>
    </row>
    <row r="37" spans="1:4" x14ac:dyDescent="0.35">
      <c r="A37" t="s">
        <v>14</v>
      </c>
      <c r="B37">
        <v>0.47257384000000002</v>
      </c>
    </row>
    <row r="38" spans="1:4" x14ac:dyDescent="0.35">
      <c r="A38" t="s">
        <v>15</v>
      </c>
      <c r="B38">
        <v>0.41935483899999998</v>
      </c>
    </row>
    <row r="39" spans="1:4" x14ac:dyDescent="0.35">
      <c r="A39" t="s">
        <v>16</v>
      </c>
      <c r="B39">
        <v>0.28571428599999998</v>
      </c>
    </row>
    <row r="40" spans="1:4" x14ac:dyDescent="0.35">
      <c r="A40" t="s">
        <v>17</v>
      </c>
      <c r="B40" s="2">
        <v>3.6E-9</v>
      </c>
    </row>
    <row r="41" spans="1:4" x14ac:dyDescent="0.35">
      <c r="A41" t="s">
        <v>18</v>
      </c>
      <c r="B41" s="3">
        <v>2.5000000000000001E-2</v>
      </c>
      <c r="C41" s="3">
        <v>0.97499999999999998</v>
      </c>
      <c r="D41" t="s">
        <v>19</v>
      </c>
    </row>
    <row r="42" spans="1:4" x14ac:dyDescent="0.35">
      <c r="A42">
        <v>1268276733</v>
      </c>
      <c r="B42">
        <v>0</v>
      </c>
      <c r="C42" t="s">
        <v>20</v>
      </c>
      <c r="D42">
        <v>0.99833070499999998</v>
      </c>
    </row>
    <row r="43" spans="1:4" x14ac:dyDescent="0.35">
      <c r="A43">
        <v>1234460289</v>
      </c>
      <c r="B43">
        <v>0</v>
      </c>
      <c r="C43" t="s">
        <v>20</v>
      </c>
      <c r="D43">
        <v>0.99918031500000004</v>
      </c>
    </row>
    <row r="44" spans="1:4" x14ac:dyDescent="0.35">
      <c r="A44">
        <v>206225600.59999999</v>
      </c>
      <c r="B44">
        <v>0</v>
      </c>
      <c r="C44" t="s">
        <v>20</v>
      </c>
      <c r="D44">
        <v>0.99908298200000001</v>
      </c>
    </row>
    <row r="45" spans="1:4" x14ac:dyDescent="0.35">
      <c r="A45">
        <v>34.407790140000003</v>
      </c>
      <c r="B45">
        <v>21.17398717</v>
      </c>
      <c r="C45">
        <v>55.912758099999998</v>
      </c>
      <c r="D45" s="2">
        <v>2.76E-46</v>
      </c>
    </row>
    <row r="46" spans="1:4" x14ac:dyDescent="0.35">
      <c r="A46">
        <v>23.445945949999999</v>
      </c>
      <c r="B46">
        <v>15.24972197</v>
      </c>
      <c r="C46">
        <v>36.047370720000004</v>
      </c>
      <c r="D46" s="2">
        <v>7.4599999999999998E-47</v>
      </c>
    </row>
    <row r="47" spans="1:4" x14ac:dyDescent="0.35">
      <c r="A47">
        <v>20.81081081</v>
      </c>
      <c r="B47">
        <v>2.828073802</v>
      </c>
      <c r="C47">
        <v>153.13951359999999</v>
      </c>
      <c r="D47">
        <v>2.8744590000000002E-3</v>
      </c>
    </row>
    <row r="48" spans="1:4" x14ac:dyDescent="0.35">
      <c r="A48">
        <v>13.75895474</v>
      </c>
      <c r="B48">
        <v>11.595644220000001</v>
      </c>
      <c r="C48">
        <v>16.32585752</v>
      </c>
      <c r="D48" s="2">
        <v>3.0699999999999998E-198</v>
      </c>
    </row>
    <row r="49" spans="1:4" x14ac:dyDescent="0.35">
      <c r="A49">
        <v>1.7342342340000001</v>
      </c>
      <c r="B49">
        <v>0.87873030500000004</v>
      </c>
      <c r="C49">
        <v>3.422629632</v>
      </c>
      <c r="D49">
        <v>0.112453265</v>
      </c>
    </row>
    <row r="50" spans="1:4" x14ac:dyDescent="0.35">
      <c r="A50">
        <v>1.486486486</v>
      </c>
      <c r="B50">
        <v>0.13465291700000001</v>
      </c>
      <c r="C50">
        <v>16.40990867</v>
      </c>
      <c r="D50">
        <v>0.74629009300000004</v>
      </c>
    </row>
    <row r="51" spans="1:4" x14ac:dyDescent="0.35">
      <c r="A51">
        <v>1.3454545449999999</v>
      </c>
      <c r="B51">
        <v>1.254760495</v>
      </c>
      <c r="C51">
        <v>1.4427039589999999</v>
      </c>
      <c r="D51" s="2">
        <v>7.8400000000000002E-17</v>
      </c>
    </row>
    <row r="52" spans="1:4" x14ac:dyDescent="0.35">
      <c r="A52">
        <v>0.66594594600000001</v>
      </c>
      <c r="B52">
        <v>0.59418761099999995</v>
      </c>
      <c r="C52">
        <v>0.74637032999999997</v>
      </c>
      <c r="D52" s="2">
        <v>2.7700000000000001E-12</v>
      </c>
    </row>
    <row r="53" spans="1:4" x14ac:dyDescent="0.35">
      <c r="A53">
        <v>0.53678678700000004</v>
      </c>
      <c r="B53">
        <v>0.32258301</v>
      </c>
      <c r="C53">
        <v>0.89322762</v>
      </c>
      <c r="D53">
        <v>1.6640928999999999E-2</v>
      </c>
    </row>
    <row r="54" spans="1:4" x14ac:dyDescent="0.35">
      <c r="A54">
        <v>0.29729729700000002</v>
      </c>
      <c r="B54">
        <v>5.7594368999999999E-2</v>
      </c>
      <c r="C54">
        <v>1.534623694</v>
      </c>
      <c r="D54">
        <v>0.14746938600000001</v>
      </c>
    </row>
    <row r="55" spans="1:4" x14ac:dyDescent="0.35">
      <c r="A55" s="2">
        <v>2.6799999999999998E-9</v>
      </c>
      <c r="B55">
        <v>0</v>
      </c>
      <c r="C55" t="s">
        <v>20</v>
      </c>
      <c r="D55">
        <v>0.99905459699999999</v>
      </c>
    </row>
    <row r="58" spans="1:4" x14ac:dyDescent="0.35">
      <c r="D58" s="2"/>
    </row>
    <row r="59" spans="1:4" x14ac:dyDescent="0.35">
      <c r="D59" s="2"/>
    </row>
    <row r="60" spans="1:4" x14ac:dyDescent="0.35">
      <c r="D60" s="2"/>
    </row>
    <row r="61" spans="1:4" x14ac:dyDescent="0.35">
      <c r="D61" s="2"/>
    </row>
    <row r="62" spans="1:4" x14ac:dyDescent="0.35">
      <c r="D62" s="2"/>
    </row>
    <row r="63" spans="1:4" x14ac:dyDescent="0.35">
      <c r="D63" s="2"/>
    </row>
    <row r="64" spans="1:4" x14ac:dyDescent="0.35">
      <c r="D64" s="2"/>
    </row>
    <row r="76" spans="4:4" x14ac:dyDescent="0.35">
      <c r="D7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E9BA-D2C2-4368-BD05-22E67218DB26}">
  <dimension ref="A1:B14"/>
  <sheetViews>
    <sheetView workbookViewId="0">
      <selection activeCell="B6" sqref="B6"/>
    </sheetView>
  </sheetViews>
  <sheetFormatPr defaultColWidth="33.26953125" defaultRowHeight="15.5" customHeight="1" x14ac:dyDescent="0.35"/>
  <cols>
    <col min="2" max="2" width="58.54296875" customWidth="1"/>
  </cols>
  <sheetData>
    <row r="1" spans="1:2" ht="15.5" customHeight="1" x14ac:dyDescent="0.35">
      <c r="A1" s="1" t="s">
        <v>25</v>
      </c>
      <c r="B1" s="1" t="s">
        <v>4</v>
      </c>
    </row>
    <row r="2" spans="1:2" ht="15.5" customHeight="1" x14ac:dyDescent="0.35">
      <c r="A2" s="22" t="s">
        <v>5</v>
      </c>
      <c r="B2" s="23">
        <v>1</v>
      </c>
    </row>
    <row r="3" spans="1:2" ht="15.5" customHeight="1" x14ac:dyDescent="0.35">
      <c r="A3" s="22" t="s">
        <v>6</v>
      </c>
      <c r="B3" s="23">
        <v>1</v>
      </c>
    </row>
    <row r="4" spans="1:2" ht="15.5" customHeight="1" x14ac:dyDescent="0.35">
      <c r="A4" s="22" t="s">
        <v>7</v>
      </c>
      <c r="B4" s="23">
        <v>1</v>
      </c>
    </row>
    <row r="5" spans="1:2" ht="15.5" customHeight="1" x14ac:dyDescent="0.35">
      <c r="A5" s="22" t="s">
        <v>8</v>
      </c>
      <c r="B5" s="23">
        <v>0.9788557</v>
      </c>
    </row>
    <row r="6" spans="1:2" ht="15.5" customHeight="1" x14ac:dyDescent="0.35">
      <c r="A6" s="22" t="s">
        <v>9</v>
      </c>
      <c r="B6" s="23">
        <v>0.96927370000000002</v>
      </c>
    </row>
    <row r="7" spans="1:2" ht="15.5" customHeight="1" x14ac:dyDescent="0.35">
      <c r="A7" s="22" t="s">
        <v>10</v>
      </c>
      <c r="B7" s="23">
        <v>0.96551719999999996</v>
      </c>
    </row>
    <row r="8" spans="1:2" ht="15.5" customHeight="1" x14ac:dyDescent="0.35">
      <c r="A8" s="22" t="s">
        <v>11</v>
      </c>
      <c r="B8" s="23">
        <v>0.94874959999999997</v>
      </c>
    </row>
    <row r="9" spans="1:2" ht="15.5" customHeight="1" x14ac:dyDescent="0.35">
      <c r="A9" s="22" t="s">
        <v>12</v>
      </c>
      <c r="B9" s="23">
        <v>0.7</v>
      </c>
    </row>
    <row r="10" spans="1:2" ht="15.5" customHeight="1" x14ac:dyDescent="0.35">
      <c r="A10" s="22" t="s">
        <v>13</v>
      </c>
      <c r="B10" s="23">
        <v>0.66666669999999995</v>
      </c>
    </row>
    <row r="11" spans="1:2" ht="15.5" customHeight="1" x14ac:dyDescent="0.35">
      <c r="A11" s="22" t="s">
        <v>14</v>
      </c>
      <c r="B11" s="23">
        <v>0.47257379999999999</v>
      </c>
    </row>
    <row r="12" spans="1:2" ht="15.5" customHeight="1" x14ac:dyDescent="0.35">
      <c r="A12" s="22" t="s">
        <v>15</v>
      </c>
      <c r="B12" s="23">
        <v>0.41935480000000003</v>
      </c>
    </row>
    <row r="13" spans="1:2" ht="15.5" customHeight="1" x14ac:dyDescent="0.35">
      <c r="A13" s="22" t="s">
        <v>16</v>
      </c>
      <c r="B13" s="23">
        <v>0.28571429999999998</v>
      </c>
    </row>
    <row r="14" spans="1:2" ht="15.5" customHeight="1" x14ac:dyDescent="0.35">
      <c r="A14" s="22" t="s">
        <v>17</v>
      </c>
      <c r="B14" s="23">
        <v>3.6036739999999999E-9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683D-12E7-4D72-9F7C-AE72A5E1A508}">
  <dimension ref="A1:H15"/>
  <sheetViews>
    <sheetView zoomScale="90" zoomScaleNormal="90" workbookViewId="0">
      <selection activeCell="A5" sqref="A5:XFD8"/>
    </sheetView>
  </sheetViews>
  <sheetFormatPr defaultRowHeight="18.5" customHeight="1" x14ac:dyDescent="0.35"/>
  <cols>
    <col min="1" max="1" width="30" style="14" customWidth="1"/>
    <col min="2" max="2" width="21.81640625" style="20" customWidth="1"/>
    <col min="3" max="3" width="16.6328125" style="14" customWidth="1"/>
    <col min="4" max="4" width="21.7265625" style="14" customWidth="1"/>
    <col min="5" max="5" width="24.81640625" style="21" hidden="1" customWidth="1"/>
    <col min="6" max="6" width="22" style="21" customWidth="1"/>
    <col min="7" max="7" width="29.08984375" style="14" customWidth="1"/>
    <col min="8" max="8" width="24.7265625" style="14" customWidth="1"/>
    <col min="9" max="16384" width="8.7265625" style="14"/>
  </cols>
  <sheetData>
    <row r="1" spans="1:8" s="8" customFormat="1" ht="18.5" customHeight="1" x14ac:dyDescent="0.35">
      <c r="A1" s="4"/>
      <c r="B1" s="5" t="s">
        <v>18</v>
      </c>
      <c r="C1" s="6">
        <v>2.5000000000000001E-2</v>
      </c>
      <c r="D1" s="6">
        <v>0.97499999999999998</v>
      </c>
      <c r="E1" s="7" t="s">
        <v>19</v>
      </c>
      <c r="F1" s="7" t="s">
        <v>24</v>
      </c>
      <c r="G1" s="8" t="s">
        <v>23</v>
      </c>
      <c r="H1" s="8" t="s">
        <v>22</v>
      </c>
    </row>
    <row r="2" spans="1:8" ht="18.5" customHeight="1" x14ac:dyDescent="0.35">
      <c r="A2" s="9" t="s">
        <v>5</v>
      </c>
      <c r="B2" s="10">
        <v>1268277000</v>
      </c>
      <c r="C2" s="11">
        <v>0</v>
      </c>
      <c r="D2" s="11" t="s">
        <v>20</v>
      </c>
      <c r="E2" s="12">
        <v>0.99833070000000002</v>
      </c>
      <c r="F2" s="12">
        <f>E2*1</f>
        <v>0.99833070000000002</v>
      </c>
      <c r="G2" s="13" t="str">
        <f>IF(F2&lt;0.01, "Very Strong", IF(F2&lt;0.05, "Strong", IF(F2&lt;0.1,"Moderate","Little Evidence")))</f>
        <v>Little Evidence</v>
      </c>
      <c r="H2" s="13">
        <f>(B2-1)*100</f>
        <v>126827699900</v>
      </c>
    </row>
    <row r="3" spans="1:8" ht="18.5" customHeight="1" x14ac:dyDescent="0.35">
      <c r="A3" s="9" t="s">
        <v>6</v>
      </c>
      <c r="B3" s="10">
        <v>1234460000</v>
      </c>
      <c r="C3" s="11">
        <v>0</v>
      </c>
      <c r="D3" s="11" t="s">
        <v>20</v>
      </c>
      <c r="E3" s="12">
        <v>0.99918030000000002</v>
      </c>
      <c r="F3" s="12">
        <f t="shared" ref="F3:F15" si="0">E3*1</f>
        <v>0.99918030000000002</v>
      </c>
      <c r="G3" s="13" t="str">
        <f t="shared" ref="G3:G15" si="1">IF(F3&lt;0.01, "Very Strong", IF(F3&lt;0.05, "Strong", IF(F3&lt;0.1,"Moderate","Little Evidence")))</f>
        <v>Little Evidence</v>
      </c>
      <c r="H3" s="13">
        <f t="shared" ref="H3:H15" si="2">(B3-1)*100</f>
        <v>123445999900</v>
      </c>
    </row>
    <row r="4" spans="1:8" ht="18.5" customHeight="1" x14ac:dyDescent="0.35">
      <c r="A4" s="9" t="s">
        <v>7</v>
      </c>
      <c r="B4" s="10">
        <v>206225600</v>
      </c>
      <c r="C4" s="11">
        <v>0</v>
      </c>
      <c r="D4" s="11" t="s">
        <v>20</v>
      </c>
      <c r="E4" s="12">
        <v>0.99908300000000005</v>
      </c>
      <c r="F4" s="12">
        <f t="shared" si="0"/>
        <v>0.99908300000000005</v>
      </c>
      <c r="G4" s="13" t="str">
        <f t="shared" si="1"/>
        <v>Little Evidence</v>
      </c>
      <c r="H4" s="13">
        <f t="shared" si="2"/>
        <v>20622559900</v>
      </c>
    </row>
    <row r="5" spans="1:8" s="19" customFormat="1" ht="18.5" customHeight="1" x14ac:dyDescent="0.35">
      <c r="A5" s="15" t="s">
        <v>8</v>
      </c>
      <c r="B5" s="16">
        <v>34.407789999999999</v>
      </c>
      <c r="C5" s="17">
        <v>21.173987</v>
      </c>
      <c r="D5" s="17">
        <v>55.912757999999997</v>
      </c>
      <c r="E5" s="18">
        <v>2.7624420000000001E-46</v>
      </c>
      <c r="F5" s="18">
        <f t="shared" si="0"/>
        <v>2.7624420000000001E-46</v>
      </c>
      <c r="G5" s="19" t="str">
        <f t="shared" si="1"/>
        <v>Very Strong</v>
      </c>
      <c r="H5" s="19">
        <f t="shared" si="2"/>
        <v>3340.779</v>
      </c>
    </row>
    <row r="6" spans="1:8" s="19" customFormat="1" ht="18.5" customHeight="1" x14ac:dyDescent="0.35">
      <c r="A6" s="15" t="s">
        <v>9</v>
      </c>
      <c r="B6" s="16">
        <v>23.44595</v>
      </c>
      <c r="C6" s="17">
        <v>15.249722</v>
      </c>
      <c r="D6" s="17">
        <v>36.047370999999998</v>
      </c>
      <c r="E6" s="18">
        <v>7.4559999999999998E-47</v>
      </c>
      <c r="F6" s="18">
        <f t="shared" si="0"/>
        <v>7.4559999999999998E-47</v>
      </c>
      <c r="G6" s="19" t="str">
        <f t="shared" si="1"/>
        <v>Very Strong</v>
      </c>
      <c r="H6" s="19">
        <f t="shared" si="2"/>
        <v>2244.5949999999998</v>
      </c>
    </row>
    <row r="7" spans="1:8" s="19" customFormat="1" ht="18.5" customHeight="1" x14ac:dyDescent="0.35">
      <c r="A7" s="15" t="s">
        <v>10</v>
      </c>
      <c r="B7" s="16">
        <v>20.81081</v>
      </c>
      <c r="C7" s="17">
        <v>2.828074</v>
      </c>
      <c r="D7" s="17">
        <v>153.13951399999999</v>
      </c>
      <c r="E7" s="18">
        <v>2.8744590000000002E-3</v>
      </c>
      <c r="F7" s="18">
        <f t="shared" si="0"/>
        <v>2.8744590000000002E-3</v>
      </c>
      <c r="G7" s="19" t="str">
        <f t="shared" si="1"/>
        <v>Very Strong</v>
      </c>
      <c r="H7" s="19">
        <f t="shared" si="2"/>
        <v>1981.0809999999999</v>
      </c>
    </row>
    <row r="8" spans="1:8" s="19" customFormat="1" ht="18.5" customHeight="1" x14ac:dyDescent="0.35">
      <c r="A8" s="15" t="s">
        <v>11</v>
      </c>
      <c r="B8" s="16">
        <v>13.75895</v>
      </c>
      <c r="C8" s="17">
        <v>11.595644</v>
      </c>
      <c r="D8" s="17">
        <v>16.325858</v>
      </c>
      <c r="E8" s="18">
        <v>3.073746E-198</v>
      </c>
      <c r="F8" s="18">
        <f t="shared" si="0"/>
        <v>3.073746E-198</v>
      </c>
      <c r="G8" s="19" t="str">
        <f t="shared" si="1"/>
        <v>Very Strong</v>
      </c>
      <c r="H8" s="19">
        <f t="shared" si="2"/>
        <v>1275.895</v>
      </c>
    </row>
    <row r="9" spans="1:8" s="13" customFormat="1" ht="18.5" customHeight="1" x14ac:dyDescent="0.35">
      <c r="A9" s="9" t="s">
        <v>12</v>
      </c>
      <c r="B9" s="10">
        <v>1.7342340000000001</v>
      </c>
      <c r="C9" s="11">
        <v>0.87873000000000001</v>
      </c>
      <c r="D9" s="11">
        <v>3.4226299999999998</v>
      </c>
      <c r="E9" s="12">
        <v>0.11245330000000001</v>
      </c>
      <c r="F9" s="12">
        <f t="shared" si="0"/>
        <v>0.11245330000000001</v>
      </c>
      <c r="G9" s="13" t="str">
        <f t="shared" si="1"/>
        <v>Little Evidence</v>
      </c>
      <c r="H9" s="13">
        <f t="shared" si="2"/>
        <v>73.423400000000001</v>
      </c>
    </row>
    <row r="10" spans="1:8" s="13" customFormat="1" ht="18.5" customHeight="1" x14ac:dyDescent="0.35">
      <c r="A10" s="9" t="s">
        <v>13</v>
      </c>
      <c r="B10" s="10">
        <v>1.486486</v>
      </c>
      <c r="C10" s="11">
        <v>0.13465299999999999</v>
      </c>
      <c r="D10" s="11">
        <v>16.409908999999999</v>
      </c>
      <c r="E10" s="12">
        <v>0.74629009999999996</v>
      </c>
      <c r="F10" s="12">
        <f t="shared" si="0"/>
        <v>0.74629009999999996</v>
      </c>
      <c r="G10" s="13" t="str">
        <f t="shared" si="1"/>
        <v>Little Evidence</v>
      </c>
      <c r="H10" s="13">
        <f t="shared" si="2"/>
        <v>48.648599999999995</v>
      </c>
    </row>
    <row r="11" spans="1:8" s="19" customFormat="1" ht="18.5" customHeight="1" x14ac:dyDescent="0.35">
      <c r="A11" s="15" t="s">
        <v>21</v>
      </c>
      <c r="B11" s="16">
        <v>1.3454550000000001</v>
      </c>
      <c r="C11" s="17">
        <v>1.2547600000000001</v>
      </c>
      <c r="D11" s="17">
        <v>1.442704</v>
      </c>
      <c r="E11" s="18">
        <v>7.8370319999999996E-17</v>
      </c>
      <c r="F11" s="18">
        <f t="shared" si="0"/>
        <v>7.8370319999999996E-17</v>
      </c>
      <c r="G11" s="19" t="str">
        <f t="shared" si="1"/>
        <v>Very Strong</v>
      </c>
      <c r="H11" s="19">
        <f t="shared" si="2"/>
        <v>34.545500000000004</v>
      </c>
    </row>
    <row r="12" spans="1:8" s="19" customFormat="1" ht="18.5" customHeight="1" x14ac:dyDescent="0.35">
      <c r="A12" s="15" t="s">
        <v>14</v>
      </c>
      <c r="B12" s="16">
        <v>0.66594589999999998</v>
      </c>
      <c r="C12" s="17">
        <v>0.59418800000000005</v>
      </c>
      <c r="D12" s="17">
        <v>0.74636999999999998</v>
      </c>
      <c r="E12" s="18">
        <v>2.7724320000000001E-12</v>
      </c>
      <c r="F12" s="18">
        <f t="shared" si="0"/>
        <v>2.7724320000000001E-12</v>
      </c>
      <c r="G12" s="19" t="str">
        <f t="shared" si="1"/>
        <v>Very Strong</v>
      </c>
      <c r="H12" s="19">
        <f t="shared" si="2"/>
        <v>-33.405410000000003</v>
      </c>
    </row>
    <row r="13" spans="1:8" s="19" customFormat="1" ht="18.5" customHeight="1" x14ac:dyDescent="0.35">
      <c r="A13" s="15" t="s">
        <v>15</v>
      </c>
      <c r="B13" s="16">
        <v>0.53678680000000001</v>
      </c>
      <c r="C13" s="17">
        <v>0.32258300000000001</v>
      </c>
      <c r="D13" s="17">
        <v>0.89322800000000002</v>
      </c>
      <c r="E13" s="18">
        <v>1.6640930000000002E-2</v>
      </c>
      <c r="F13" s="18">
        <f t="shared" si="0"/>
        <v>1.6640930000000002E-2</v>
      </c>
      <c r="G13" s="19" t="str">
        <f t="shared" si="1"/>
        <v>Strong</v>
      </c>
      <c r="H13" s="19">
        <f t="shared" si="2"/>
        <v>-46.32132</v>
      </c>
    </row>
    <row r="14" spans="1:8" s="13" customFormat="1" ht="18.5" customHeight="1" x14ac:dyDescent="0.35">
      <c r="A14" s="9" t="s">
        <v>16</v>
      </c>
      <c r="B14" s="10">
        <v>0.29729729999999999</v>
      </c>
      <c r="C14" s="11">
        <v>5.7593999999999999E-2</v>
      </c>
      <c r="D14" s="11">
        <v>1.534624</v>
      </c>
      <c r="E14" s="12">
        <v>0.1474694</v>
      </c>
      <c r="F14" s="12">
        <f t="shared" si="0"/>
        <v>0.1474694</v>
      </c>
      <c r="G14" s="13" t="str">
        <f t="shared" si="1"/>
        <v>Little Evidence</v>
      </c>
      <c r="H14" s="13">
        <f t="shared" si="2"/>
        <v>-70.270269999999996</v>
      </c>
    </row>
    <row r="15" spans="1:8" s="13" customFormat="1" ht="18.5" customHeight="1" x14ac:dyDescent="0.35">
      <c r="A15" s="9" t="s">
        <v>17</v>
      </c>
      <c r="B15" s="10">
        <v>2.678406E-9</v>
      </c>
      <c r="C15" s="11">
        <v>0</v>
      </c>
      <c r="D15" s="11" t="s">
        <v>20</v>
      </c>
      <c r="E15" s="12">
        <v>0.99905460000000001</v>
      </c>
      <c r="F15" s="12">
        <f t="shared" si="0"/>
        <v>0.99905460000000001</v>
      </c>
      <c r="G15" s="13" t="str">
        <f t="shared" si="1"/>
        <v>Little Evidence</v>
      </c>
      <c r="H15" s="13">
        <f t="shared" si="2"/>
        <v>-99.999999732159395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ModelA_Summary</vt:lpstr>
      <vt:lpstr>ModelA_PredProb</vt:lpstr>
      <vt:lpstr>ModelA_OddRatios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Afeena Gafoor</dc:creator>
  <cp:lastModifiedBy>Afeena Gafoor</cp:lastModifiedBy>
  <dcterms:created xsi:type="dcterms:W3CDTF">2025-10-05T17:56:23Z</dcterms:created>
  <dcterms:modified xsi:type="dcterms:W3CDTF">2025-10-15T09:20:34Z</dcterms:modified>
</cp:coreProperties>
</file>