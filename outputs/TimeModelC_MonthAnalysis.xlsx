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feen\Documents\MBAI\Business Analytics\FlaskProjects\Master Code (BA)\04Regression\Time\"/>
    </mc:Choice>
  </mc:AlternateContent>
  <xr:revisionPtr revIDLastSave="0" documentId="13_ncr:1_{8D0BE30E-4B2B-4BE8-BA38-A28796DCD33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1" r:id="rId1"/>
    <sheet name="PredProb" sheetId="2" r:id="rId2"/>
    <sheet name="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2" i="3"/>
  <c r="G3" i="3"/>
  <c r="G4" i="3"/>
  <c r="G5" i="3"/>
  <c r="G6" i="3"/>
  <c r="G7" i="3"/>
  <c r="G8" i="3"/>
  <c r="G9" i="3"/>
  <c r="G10" i="3"/>
  <c r="G11" i="3"/>
  <c r="G12" i="3"/>
  <c r="G13" i="3"/>
  <c r="G2" i="3"/>
  <c r="F3" i="3"/>
  <c r="F4" i="3"/>
  <c r="F5" i="3"/>
  <c r="F6" i="3"/>
  <c r="F7" i="3"/>
  <c r="F8" i="3"/>
  <c r="F9" i="3"/>
  <c r="F10" i="3"/>
  <c r="F11" i="3"/>
  <c r="F12" i="3"/>
  <c r="F13" i="3"/>
  <c r="F2" i="3"/>
</calcChain>
</file>

<file path=xl/sharedStrings.xml><?xml version="1.0" encoding="utf-8"?>
<sst xmlns="http://schemas.openxmlformats.org/spreadsheetml/2006/main" count="70" uniqueCount="45">
  <si>
    <t>Month</t>
  </si>
  <si>
    <t>PredProb_Severe</t>
  </si>
  <si>
    <t>TimeMonth_November</t>
  </si>
  <si>
    <t>TimeMonth_October</t>
  </si>
  <si>
    <t>TimeMonth_December</t>
  </si>
  <si>
    <t>TimeMonth_September</t>
  </si>
  <si>
    <t>TimeMonth_March</t>
  </si>
  <si>
    <t>TimeMonth_June</t>
  </si>
  <si>
    <t>TimeMonth_February</t>
  </si>
  <si>
    <t>TimeMonth_July</t>
  </si>
  <si>
    <t>TimeMonth_August</t>
  </si>
  <si>
    <t>TimeMonth_May</t>
  </si>
  <si>
    <t>TimeMonth_April</t>
  </si>
  <si>
    <t>OR</t>
  </si>
  <si>
    <t>pval</t>
  </si>
  <si>
    <t>Intercept</t>
  </si>
  <si>
    <t>pval_new</t>
  </si>
  <si>
    <t>Confidence</t>
  </si>
  <si>
    <t>%OddRatio</t>
  </si>
  <si>
    <t xml:space="preserve">                           Logit Regression Results                           </t>
  </si>
  <si>
    <t>==============================================================================</t>
  </si>
  <si>
    <t>Dep. Variable:           SevereInjury   No. Observations:                10044</t>
  </si>
  <si>
    <t>Model:                          Logit   Df Residuals:                    10032</t>
  </si>
  <si>
    <t>Method:                           MLE   Df Model:                           11</t>
  </si>
  <si>
    <t>Date:                Mon</t>
  </si>
  <si>
    <t xml:space="preserve"> 06 Oct 2025   Pseudo R-squ.:                0.002592</t>
  </si>
  <si>
    <t>Time:                        12:46:55   Log-Likelihood:                -5766.3</t>
  </si>
  <si>
    <t>converged:                       True   LL-Null:                       -5781.3</t>
  </si>
  <si>
    <t>Covariance Type:            nonrobust   LLR p-value:                  0.001605</t>
  </si>
  <si>
    <t>=======================================================================================</t>
  </si>
  <si>
    <t xml:space="preserve">                          coef    std err          z      P&gt;|z|      [0.025      0.975]</t>
  </si>
  <si>
    <t>---------------------------------------------------------------------------------------</t>
  </si>
  <si>
    <t>Intercept               0.9045      0.083     10.899      0.000       0.742       1.067</t>
  </si>
  <si>
    <t>TimeMonth_April        -0.1181      0.116     -1.016      0.310      -0.346       0.110</t>
  </si>
  <si>
    <t>TimeMonth_August        0.0759      0.109      0.700      0.484      -0.137       0.289</t>
  </si>
  <si>
    <t>TimeMonth_December      0.1994      0.118      1.694      0.090      -0.031       0.430</t>
  </si>
  <si>
    <t>TimeMonth_February      0.0947      0.124      0.765      0.444      -0.148       0.337</t>
  </si>
  <si>
    <t>TimeMonth_July          0.0845      0.110      0.766      0.443      -0.132       0.301</t>
  </si>
  <si>
    <t>TimeMonth_June          0.1167      0.110      1.064      0.287      -0.098       0.332</t>
  </si>
  <si>
    <t>TimeMonth_March         0.1329      0.121      1.098      0.272      -0.104       0.370</t>
  </si>
  <si>
    <t>TimeMonth_May           0.0527      0.113      0.466      0.641      -0.169       0.274</t>
  </si>
  <si>
    <t>TimeMonth_November      0.3871      0.119      3.261      0.001       0.154       0.620</t>
  </si>
  <si>
    <t>TimeMonth_October       0.3083      0.114      2.712      0.007       0.086       0.531</t>
  </si>
  <si>
    <t>TimeMonth_September     0.1875      0.110      1.700      0.089      -0.029       0.404</t>
  </si>
  <si>
    <t>=======================================================================================Month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</si>
</sst>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0" fontId="0" fillId="0" borderId="0" xfId="0" applyNumberFormat="1"/>
    <xf numFmtId="10" fontId="3" fillId="0" borderId="1" xfId="0" applyNumberFormat="1" applyFont="1" applyBorder="1" applyAlignment="1">
      <alignment horizontal="center" vertical="center" wrapText="1"/>
    </xf>
    <xf numFmtId="11" fontId="0" fillId="0" borderId="0" xfId="0" applyNumberFormat="1"/>
    <xf numFmtId="11" fontId="2" fillId="0" borderId="1" xfId="0" applyNumberFormat="1" applyFont="1" applyBorder="1" applyAlignment="1">
      <alignment vertical="center" wrapText="1"/>
    </xf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1" fontId="2" fillId="2" borderId="1" xfId="0" applyNumberFormat="1" applyFont="1" applyFill="1" applyBorder="1" applyAlignment="1">
      <alignment vertical="center" wrapText="1"/>
    </xf>
    <xf numFmtId="164" fontId="0" fillId="2" borderId="0" xfId="0" applyNumberFormat="1" applyFill="1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1" fontId="2" fillId="3" borderId="1" xfId="0" applyNumberFormat="1" applyFont="1" applyFill="1" applyBorder="1" applyAlignment="1">
      <alignment vertical="center" wrapText="1"/>
    </xf>
    <xf numFmtId="16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25" workbookViewId="0">
      <selection activeCell="G42" sqref="G42"/>
    </sheetView>
  </sheetViews>
  <sheetFormatPr defaultRowHeight="14.5" x14ac:dyDescent="0.35"/>
  <cols>
    <col min="1" max="1" width="19.54296875" customWidth="1"/>
  </cols>
  <sheetData>
    <row r="1" spans="1:2" x14ac:dyDescent="0.35">
      <c r="A1" t="s">
        <v>19</v>
      </c>
    </row>
    <row r="2" spans="1:2" x14ac:dyDescent="0.35">
      <c r="A2" t="s">
        <v>20</v>
      </c>
    </row>
    <row r="3" spans="1:2" x14ac:dyDescent="0.35">
      <c r="A3" t="s">
        <v>21</v>
      </c>
    </row>
    <row r="4" spans="1:2" x14ac:dyDescent="0.35">
      <c r="A4" t="s">
        <v>22</v>
      </c>
    </row>
    <row r="5" spans="1:2" x14ac:dyDescent="0.35">
      <c r="A5" t="s">
        <v>23</v>
      </c>
    </row>
    <row r="6" spans="1:2" x14ac:dyDescent="0.35">
      <c r="A6" t="s">
        <v>24</v>
      </c>
      <c r="B6" t="s">
        <v>25</v>
      </c>
    </row>
    <row r="7" spans="1:2" x14ac:dyDescent="0.35">
      <c r="A7" t="s">
        <v>26</v>
      </c>
    </row>
    <row r="8" spans="1:2" x14ac:dyDescent="0.35">
      <c r="A8" t="s">
        <v>27</v>
      </c>
    </row>
    <row r="9" spans="1:2" x14ac:dyDescent="0.35">
      <c r="A9" t="s">
        <v>28</v>
      </c>
    </row>
    <row r="10" spans="1:2" x14ac:dyDescent="0.35">
      <c r="A10" t="s">
        <v>29</v>
      </c>
    </row>
    <row r="11" spans="1:2" x14ac:dyDescent="0.35">
      <c r="A11" t="s">
        <v>30</v>
      </c>
    </row>
    <row r="12" spans="1:2" x14ac:dyDescent="0.35">
      <c r="A12" t="s">
        <v>31</v>
      </c>
    </row>
    <row r="13" spans="1:2" x14ac:dyDescent="0.35">
      <c r="A13" t="s">
        <v>32</v>
      </c>
    </row>
    <row r="14" spans="1:2" x14ac:dyDescent="0.35">
      <c r="A14" t="s">
        <v>33</v>
      </c>
    </row>
    <row r="15" spans="1:2" x14ac:dyDescent="0.35">
      <c r="A15" t="s">
        <v>34</v>
      </c>
    </row>
    <row r="16" spans="1:2" x14ac:dyDescent="0.35">
      <c r="A16" t="s">
        <v>35</v>
      </c>
    </row>
    <row r="17" spans="1:2" x14ac:dyDescent="0.35">
      <c r="A17" t="s">
        <v>36</v>
      </c>
    </row>
    <row r="18" spans="1:2" x14ac:dyDescent="0.35">
      <c r="A18" t="s">
        <v>37</v>
      </c>
    </row>
    <row r="19" spans="1:2" x14ac:dyDescent="0.35">
      <c r="A19" t="s">
        <v>38</v>
      </c>
    </row>
    <row r="20" spans="1:2" x14ac:dyDescent="0.35">
      <c r="A20" t="s">
        <v>39</v>
      </c>
    </row>
    <row r="21" spans="1:2" x14ac:dyDescent="0.35">
      <c r="A21" t="s">
        <v>40</v>
      </c>
    </row>
    <row r="22" spans="1:2" x14ac:dyDescent="0.35">
      <c r="A22" t="s">
        <v>41</v>
      </c>
    </row>
    <row r="23" spans="1:2" x14ac:dyDescent="0.35">
      <c r="A23" t="s">
        <v>42</v>
      </c>
    </row>
    <row r="24" spans="1:2" x14ac:dyDescent="0.35">
      <c r="A24" t="s">
        <v>43</v>
      </c>
    </row>
    <row r="25" spans="1:2" x14ac:dyDescent="0.35">
      <c r="A25" t="s">
        <v>44</v>
      </c>
      <c r="B25" t="s">
        <v>1</v>
      </c>
    </row>
    <row r="26" spans="1:2" x14ac:dyDescent="0.35">
      <c r="A26" t="s">
        <v>2</v>
      </c>
      <c r="B26">
        <v>0.78440925700365405</v>
      </c>
    </row>
    <row r="27" spans="1:2" x14ac:dyDescent="0.35">
      <c r="A27" t="s">
        <v>3</v>
      </c>
      <c r="B27">
        <v>0.77078891257995696</v>
      </c>
    </row>
    <row r="28" spans="1:2" x14ac:dyDescent="0.35">
      <c r="A28" t="s">
        <v>4</v>
      </c>
      <c r="B28">
        <v>0.750977835723598</v>
      </c>
    </row>
    <row r="29" spans="1:2" x14ac:dyDescent="0.35">
      <c r="A29" t="s">
        <v>5</v>
      </c>
      <c r="B29">
        <v>0.74875868917576904</v>
      </c>
    </row>
    <row r="30" spans="1:2" x14ac:dyDescent="0.35">
      <c r="A30" t="s">
        <v>6</v>
      </c>
      <c r="B30">
        <v>0.73834586466165397</v>
      </c>
    </row>
    <row r="31" spans="1:2" x14ac:dyDescent="0.35">
      <c r="A31" t="s">
        <v>7</v>
      </c>
      <c r="B31">
        <v>0.73520561685055097</v>
      </c>
    </row>
    <row r="32" spans="1:2" x14ac:dyDescent="0.35">
      <c r="A32" t="s">
        <v>8</v>
      </c>
      <c r="B32">
        <v>0.73089700996677698</v>
      </c>
    </row>
    <row r="33" spans="1:4" x14ac:dyDescent="0.35">
      <c r="A33" t="s">
        <v>9</v>
      </c>
      <c r="B33">
        <v>0.72888425443169902</v>
      </c>
    </row>
    <row r="34" spans="1:4" x14ac:dyDescent="0.35">
      <c r="A34" t="s">
        <v>10</v>
      </c>
      <c r="B34">
        <v>0.727184466019417</v>
      </c>
    </row>
    <row r="35" spans="1:4" x14ac:dyDescent="0.35">
      <c r="A35" t="s">
        <v>11</v>
      </c>
      <c r="B35">
        <v>0.72255017709563096</v>
      </c>
    </row>
    <row r="36" spans="1:4" x14ac:dyDescent="0.35">
      <c r="A36" t="s">
        <v>12</v>
      </c>
      <c r="B36">
        <v>0.68705547652915999</v>
      </c>
    </row>
    <row r="37" spans="1:4" x14ac:dyDescent="0.35">
      <c r="A37" t="s">
        <v>13</v>
      </c>
      <c r="B37" s="4">
        <v>2.5000000000000001E-2</v>
      </c>
      <c r="C37" s="4">
        <v>0.97499999999999998</v>
      </c>
      <c r="D37" t="s">
        <v>14</v>
      </c>
    </row>
    <row r="38" spans="1:4" x14ac:dyDescent="0.35">
      <c r="A38">
        <v>2.4705882352941</v>
      </c>
      <c r="B38">
        <v>2.09974026111803</v>
      </c>
      <c r="C38">
        <v>2.90693393911662</v>
      </c>
      <c r="D38" s="6">
        <v>1.1606116151925199E-27</v>
      </c>
    </row>
    <row r="39" spans="1:4" x14ac:dyDescent="0.35">
      <c r="A39">
        <v>1.47269303201507</v>
      </c>
      <c r="B39">
        <v>1.1670205832734899</v>
      </c>
      <c r="C39">
        <v>1.85842888945643</v>
      </c>
      <c r="D39">
        <v>1.1093104979788E-3</v>
      </c>
    </row>
    <row r="40" spans="1:4" x14ac:dyDescent="0.35">
      <c r="A40">
        <v>1.36112956810632</v>
      </c>
      <c r="B40">
        <v>1.08929430449789</v>
      </c>
      <c r="C40">
        <v>1.70080178839022</v>
      </c>
      <c r="D40">
        <v>6.6793876756777197E-3</v>
      </c>
    </row>
    <row r="41" spans="1:4" x14ac:dyDescent="0.35">
      <c r="A41">
        <v>1.22064323111444</v>
      </c>
      <c r="B41">
        <v>0.96913887614936101</v>
      </c>
      <c r="C41">
        <v>1.53741629227128</v>
      </c>
      <c r="D41">
        <v>9.0327125981823797E-2</v>
      </c>
    </row>
    <row r="42" spans="1:4" x14ac:dyDescent="0.35">
      <c r="A42">
        <v>1.20628646715604</v>
      </c>
      <c r="B42">
        <v>0.97177887095313698</v>
      </c>
      <c r="C42">
        <v>1.4973849343077199</v>
      </c>
      <c r="D42">
        <v>8.9053108239066495E-2</v>
      </c>
    </row>
    <row r="43" spans="1:4" x14ac:dyDescent="0.35">
      <c r="A43">
        <v>1.1421729611384801</v>
      </c>
      <c r="B43">
        <v>0.90081368964388198</v>
      </c>
      <c r="C43">
        <v>1.44820076354699</v>
      </c>
      <c r="D43">
        <v>0.27240783425168202</v>
      </c>
    </row>
    <row r="44" spans="1:4" x14ac:dyDescent="0.35">
      <c r="A44">
        <v>1.1238275613275699</v>
      </c>
      <c r="B44">
        <v>0.90637274154485603</v>
      </c>
      <c r="C44">
        <v>1.3934536308393199</v>
      </c>
      <c r="D44">
        <v>0.28733083538601201</v>
      </c>
    </row>
    <row r="45" spans="1:4" x14ac:dyDescent="0.35">
      <c r="A45">
        <v>1.09935332157555</v>
      </c>
      <c r="B45">
        <v>0.862463286044587</v>
      </c>
      <c r="C45">
        <v>1.4013091863909399</v>
      </c>
      <c r="D45">
        <v>0.44427631701349901</v>
      </c>
    </row>
    <row r="46" spans="1:4" x14ac:dyDescent="0.35">
      <c r="A46">
        <v>1.08818681318682</v>
      </c>
      <c r="B46">
        <v>0.876654375946605</v>
      </c>
      <c r="C46">
        <v>1.35076099872888</v>
      </c>
      <c r="D46">
        <v>0.44349145881746899</v>
      </c>
    </row>
    <row r="47" spans="1:4" x14ac:dyDescent="0.35">
      <c r="A47">
        <v>1.0788849347568199</v>
      </c>
      <c r="B47">
        <v>0.87214697648235995</v>
      </c>
      <c r="C47">
        <v>1.3346290634865099</v>
      </c>
      <c r="D47">
        <v>0.48419604510484598</v>
      </c>
    </row>
    <row r="48" spans="1:4" x14ac:dyDescent="0.35">
      <c r="A48">
        <v>1.05410334346505</v>
      </c>
      <c r="B48">
        <v>0.84464329300785501</v>
      </c>
      <c r="C48">
        <v>1.3155066380120599</v>
      </c>
      <c r="D48">
        <v>0.64109320560445704</v>
      </c>
    </row>
    <row r="49" spans="1:4" x14ac:dyDescent="0.35">
      <c r="A49">
        <v>0.888636363636369</v>
      </c>
      <c r="B49">
        <v>0.70764641155962904</v>
      </c>
      <c r="C49">
        <v>1.11591689560956</v>
      </c>
      <c r="D49">
        <v>0.30958770306905498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5E20-486B-4515-AE52-9F4793C56FB4}">
  <dimension ref="A1:C12"/>
  <sheetViews>
    <sheetView workbookViewId="0">
      <selection activeCell="G7" sqref="G7"/>
    </sheetView>
  </sheetViews>
  <sheetFormatPr defaultRowHeight="14.5" x14ac:dyDescent="0.35"/>
  <cols>
    <col min="1" max="1" width="2.6328125" bestFit="1" customWidth="1"/>
    <col min="2" max="2" width="20.54296875" customWidth="1"/>
    <col min="3" max="3" width="24.90625" customWidth="1"/>
  </cols>
  <sheetData>
    <row r="1" spans="1:3" x14ac:dyDescent="0.35">
      <c r="A1" s="2"/>
      <c r="B1" s="2" t="s">
        <v>0</v>
      </c>
      <c r="C1" s="2" t="s">
        <v>1</v>
      </c>
    </row>
    <row r="2" spans="1:3" x14ac:dyDescent="0.35">
      <c r="A2" s="2">
        <v>8</v>
      </c>
      <c r="B2" s="3" t="s">
        <v>2</v>
      </c>
      <c r="C2" s="3">
        <v>0.78440900000000002</v>
      </c>
    </row>
    <row r="3" spans="1:3" x14ac:dyDescent="0.35">
      <c r="A3" s="2">
        <v>9</v>
      </c>
      <c r="B3" s="3" t="s">
        <v>3</v>
      </c>
      <c r="C3" s="3">
        <v>0.77078899999999995</v>
      </c>
    </row>
    <row r="4" spans="1:3" x14ac:dyDescent="0.35">
      <c r="A4" s="2">
        <v>2</v>
      </c>
      <c r="B4" s="3" t="s">
        <v>4</v>
      </c>
      <c r="C4" s="3">
        <v>0.75097800000000003</v>
      </c>
    </row>
    <row r="5" spans="1:3" x14ac:dyDescent="0.35">
      <c r="A5" s="2">
        <v>10</v>
      </c>
      <c r="B5" s="3" t="s">
        <v>5</v>
      </c>
      <c r="C5" s="3">
        <v>0.74875899999999995</v>
      </c>
    </row>
    <row r="6" spans="1:3" x14ac:dyDescent="0.35">
      <c r="A6" s="2">
        <v>6</v>
      </c>
      <c r="B6" s="3" t="s">
        <v>6</v>
      </c>
      <c r="C6" s="3">
        <v>0.73834599999999995</v>
      </c>
    </row>
    <row r="7" spans="1:3" x14ac:dyDescent="0.35">
      <c r="A7" s="2">
        <v>5</v>
      </c>
      <c r="B7" s="3" t="s">
        <v>7</v>
      </c>
      <c r="C7" s="3">
        <v>0.73520600000000003</v>
      </c>
    </row>
    <row r="8" spans="1:3" x14ac:dyDescent="0.35">
      <c r="A8" s="2">
        <v>3</v>
      </c>
      <c r="B8" s="3" t="s">
        <v>8</v>
      </c>
      <c r="C8" s="3">
        <v>0.73089700000000002</v>
      </c>
    </row>
    <row r="9" spans="1:3" x14ac:dyDescent="0.35">
      <c r="A9" s="2">
        <v>4</v>
      </c>
      <c r="B9" s="3" t="s">
        <v>9</v>
      </c>
      <c r="C9" s="3">
        <v>0.72888399999999998</v>
      </c>
    </row>
    <row r="10" spans="1:3" x14ac:dyDescent="0.35">
      <c r="A10" s="2">
        <v>1</v>
      </c>
      <c r="B10" s="3" t="s">
        <v>10</v>
      </c>
      <c r="C10" s="3">
        <v>0.72718400000000005</v>
      </c>
    </row>
    <row r="11" spans="1:3" x14ac:dyDescent="0.35">
      <c r="A11" s="2">
        <v>7</v>
      </c>
      <c r="B11" s="3" t="s">
        <v>11</v>
      </c>
      <c r="C11" s="3">
        <v>0.72255000000000003</v>
      </c>
    </row>
    <row r="12" spans="1:3" x14ac:dyDescent="0.35">
      <c r="A12" s="2">
        <v>0</v>
      </c>
      <c r="B12" s="3" t="s">
        <v>12</v>
      </c>
      <c r="C12" s="3">
        <v>0.68705499999999997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8089-57C6-4766-96F7-F55BEE443B4C}">
  <dimension ref="A1:H14"/>
  <sheetViews>
    <sheetView tabSelected="1" workbookViewId="0">
      <selection activeCell="G16" sqref="G16"/>
    </sheetView>
  </sheetViews>
  <sheetFormatPr defaultRowHeight="14.5" x14ac:dyDescent="0.35"/>
  <cols>
    <col min="1" max="1" width="23.54296875" customWidth="1"/>
    <col min="5" max="5" width="16.81640625" hidden="1" customWidth="1"/>
    <col min="6" max="6" width="12.36328125" bestFit="1" customWidth="1"/>
    <col min="7" max="7" width="18.08984375" customWidth="1"/>
    <col min="8" max="8" width="13" customWidth="1"/>
  </cols>
  <sheetData>
    <row r="1" spans="1:8" s="1" customFormat="1" x14ac:dyDescent="0.35">
      <c r="A1" s="2"/>
      <c r="B1" s="2" t="s">
        <v>13</v>
      </c>
      <c r="C1" s="5">
        <v>2.5000000000000001E-2</v>
      </c>
      <c r="D1" s="5">
        <v>0.97499999999999998</v>
      </c>
      <c r="E1" s="2" t="s">
        <v>14</v>
      </c>
      <c r="F1" s="1" t="s">
        <v>16</v>
      </c>
      <c r="G1" s="1" t="s">
        <v>17</v>
      </c>
      <c r="H1" s="1" t="s">
        <v>18</v>
      </c>
    </row>
    <row r="2" spans="1:8" x14ac:dyDescent="0.35">
      <c r="A2" s="2" t="s">
        <v>15</v>
      </c>
      <c r="B2" s="3">
        <v>2.4705879999999998</v>
      </c>
      <c r="C2" s="3">
        <v>2.0997400000000002</v>
      </c>
      <c r="D2" s="3">
        <v>2.9069340000000001</v>
      </c>
      <c r="E2" s="7">
        <v>1.160612E-27</v>
      </c>
      <c r="F2" s="8">
        <f>E2*1</f>
        <v>1.160612E-27</v>
      </c>
      <c r="G2" t="str">
        <f>IF(F2&lt;0.01, "Very Strong", IF(F2&lt;0.05, "Strong", IF(F2&lt;0.1,"Moderate","Little Evidence")))</f>
        <v>Very Strong</v>
      </c>
      <c r="H2">
        <f>(B2-1)*100</f>
        <v>147.05879999999999</v>
      </c>
    </row>
    <row r="3" spans="1:8" s="13" customFormat="1" x14ac:dyDescent="0.35">
      <c r="A3" s="9" t="s">
        <v>2</v>
      </c>
      <c r="B3" s="10">
        <v>1.472693</v>
      </c>
      <c r="C3" s="10">
        <v>1.1670210000000001</v>
      </c>
      <c r="D3" s="10">
        <v>1.8584290000000001</v>
      </c>
      <c r="E3" s="11">
        <v>1.1093100000000001E-3</v>
      </c>
      <c r="F3" s="12">
        <f t="shared" ref="F3:F13" si="0">E3*1</f>
        <v>1.1093100000000001E-3</v>
      </c>
      <c r="G3" s="13" t="str">
        <f t="shared" ref="G3:G13" si="1">IF(F3&lt;0.01, "Very Strong", IF(F3&lt;0.05, "Strong", IF(F3&lt;0.1,"Moderate","Little Evidence")))</f>
        <v>Very Strong</v>
      </c>
      <c r="H3" s="13">
        <f t="shared" ref="H3:H13" si="2">(B3-1)*100</f>
        <v>47.269300000000001</v>
      </c>
    </row>
    <row r="4" spans="1:8" s="13" customFormat="1" x14ac:dyDescent="0.35">
      <c r="A4" s="9" t="s">
        <v>3</v>
      </c>
      <c r="B4" s="10">
        <v>1.36113</v>
      </c>
      <c r="C4" s="10">
        <v>1.089294</v>
      </c>
      <c r="D4" s="10">
        <v>1.7008019999999999</v>
      </c>
      <c r="E4" s="11">
        <v>6.6793879999999996E-3</v>
      </c>
      <c r="F4" s="12">
        <f t="shared" si="0"/>
        <v>6.6793879999999996E-3</v>
      </c>
      <c r="G4" s="13" t="str">
        <f t="shared" si="1"/>
        <v>Very Strong</v>
      </c>
      <c r="H4" s="13">
        <f t="shared" si="2"/>
        <v>36.112999999999992</v>
      </c>
    </row>
    <row r="5" spans="1:8" s="18" customFormat="1" x14ac:dyDescent="0.35">
      <c r="A5" s="14" t="s">
        <v>4</v>
      </c>
      <c r="B5" s="15">
        <v>1.2206429999999999</v>
      </c>
      <c r="C5" s="15">
        <v>0.96913899999999997</v>
      </c>
      <c r="D5" s="15">
        <v>1.5374159999999999</v>
      </c>
      <c r="E5" s="16">
        <v>9.0327130000000005E-2</v>
      </c>
      <c r="F5" s="17">
        <f t="shared" si="0"/>
        <v>9.0327130000000005E-2</v>
      </c>
      <c r="G5" s="18" t="str">
        <f t="shared" si="1"/>
        <v>Moderate</v>
      </c>
      <c r="H5" s="18">
        <f t="shared" si="2"/>
        <v>22.064299999999992</v>
      </c>
    </row>
    <row r="6" spans="1:8" s="18" customFormat="1" x14ac:dyDescent="0.35">
      <c r="A6" s="14" t="s">
        <v>5</v>
      </c>
      <c r="B6" s="15">
        <v>1.206286</v>
      </c>
      <c r="C6" s="15">
        <v>0.97177899999999995</v>
      </c>
      <c r="D6" s="15">
        <v>1.497385</v>
      </c>
      <c r="E6" s="16">
        <v>8.9053110000000005E-2</v>
      </c>
      <c r="F6" s="17">
        <f t="shared" si="0"/>
        <v>8.9053110000000005E-2</v>
      </c>
      <c r="G6" s="18" t="str">
        <f t="shared" si="1"/>
        <v>Moderate</v>
      </c>
      <c r="H6" s="18">
        <f t="shared" si="2"/>
        <v>20.628599999999999</v>
      </c>
    </row>
    <row r="7" spans="1:8" s="18" customFormat="1" x14ac:dyDescent="0.35">
      <c r="A7" s="14" t="s">
        <v>6</v>
      </c>
      <c r="B7" s="15">
        <v>1.1421730000000001</v>
      </c>
      <c r="C7" s="15">
        <v>0.900814</v>
      </c>
      <c r="D7" s="15">
        <v>1.4482010000000001</v>
      </c>
      <c r="E7" s="16">
        <v>0.27240779999999998</v>
      </c>
      <c r="F7" s="17">
        <f t="shared" si="0"/>
        <v>0.27240779999999998</v>
      </c>
      <c r="G7" s="18" t="str">
        <f t="shared" si="1"/>
        <v>Little Evidence</v>
      </c>
      <c r="H7" s="18">
        <f t="shared" si="2"/>
        <v>14.21730000000001</v>
      </c>
    </row>
    <row r="8" spans="1:8" s="18" customFormat="1" x14ac:dyDescent="0.35">
      <c r="A8" s="14" t="s">
        <v>7</v>
      </c>
      <c r="B8" s="15">
        <v>1.123828</v>
      </c>
      <c r="C8" s="15">
        <v>0.90637299999999998</v>
      </c>
      <c r="D8" s="15">
        <v>1.393454</v>
      </c>
      <c r="E8" s="16">
        <v>0.2873308</v>
      </c>
      <c r="F8" s="17">
        <f t="shared" si="0"/>
        <v>0.2873308</v>
      </c>
      <c r="G8" s="18" t="str">
        <f t="shared" si="1"/>
        <v>Little Evidence</v>
      </c>
      <c r="H8" s="18">
        <f t="shared" si="2"/>
        <v>12.382800000000005</v>
      </c>
    </row>
    <row r="9" spans="1:8" s="18" customFormat="1" x14ac:dyDescent="0.35">
      <c r="A9" s="14" t="s">
        <v>8</v>
      </c>
      <c r="B9" s="15">
        <v>1.099353</v>
      </c>
      <c r="C9" s="15">
        <v>0.86246299999999998</v>
      </c>
      <c r="D9" s="15">
        <v>1.4013089999999999</v>
      </c>
      <c r="E9" s="16">
        <v>0.44427630000000001</v>
      </c>
      <c r="F9" s="17">
        <f t="shared" si="0"/>
        <v>0.44427630000000001</v>
      </c>
      <c r="G9" s="18" t="str">
        <f t="shared" si="1"/>
        <v>Little Evidence</v>
      </c>
      <c r="H9" s="18">
        <f t="shared" si="2"/>
        <v>9.9353000000000016</v>
      </c>
    </row>
    <row r="10" spans="1:8" s="18" customFormat="1" x14ac:dyDescent="0.35">
      <c r="A10" s="14" t="s">
        <v>9</v>
      </c>
      <c r="B10" s="15">
        <v>1.088187</v>
      </c>
      <c r="C10" s="15">
        <v>0.87665400000000004</v>
      </c>
      <c r="D10" s="15">
        <v>1.3507610000000001</v>
      </c>
      <c r="E10" s="16">
        <v>0.44349149999999998</v>
      </c>
      <c r="F10" s="17">
        <f t="shared" si="0"/>
        <v>0.44349149999999998</v>
      </c>
      <c r="G10" s="18" t="str">
        <f t="shared" si="1"/>
        <v>Little Evidence</v>
      </c>
      <c r="H10" s="18">
        <f t="shared" si="2"/>
        <v>8.8187000000000015</v>
      </c>
    </row>
    <row r="11" spans="1:8" s="18" customFormat="1" x14ac:dyDescent="0.35">
      <c r="A11" s="14" t="s">
        <v>10</v>
      </c>
      <c r="B11" s="15">
        <v>1.0788850000000001</v>
      </c>
      <c r="C11" s="15">
        <v>0.87214700000000001</v>
      </c>
      <c r="D11" s="15">
        <v>1.3346290000000001</v>
      </c>
      <c r="E11" s="16">
        <v>0.48419600000000002</v>
      </c>
      <c r="F11" s="17">
        <f t="shared" si="0"/>
        <v>0.48419600000000002</v>
      </c>
      <c r="G11" s="18" t="str">
        <f t="shared" si="1"/>
        <v>Little Evidence</v>
      </c>
      <c r="H11" s="18">
        <f t="shared" si="2"/>
        <v>7.8885000000000094</v>
      </c>
    </row>
    <row r="12" spans="1:8" s="18" customFormat="1" x14ac:dyDescent="0.35">
      <c r="A12" s="14" t="s">
        <v>11</v>
      </c>
      <c r="B12" s="15">
        <v>1.054103</v>
      </c>
      <c r="C12" s="15">
        <v>0.84464300000000003</v>
      </c>
      <c r="D12" s="15">
        <v>1.315507</v>
      </c>
      <c r="E12" s="16">
        <v>0.64109320000000003</v>
      </c>
      <c r="F12" s="17">
        <f t="shared" si="0"/>
        <v>0.64109320000000003</v>
      </c>
      <c r="G12" s="18" t="str">
        <f t="shared" si="1"/>
        <v>Little Evidence</v>
      </c>
      <c r="H12" s="18">
        <f t="shared" si="2"/>
        <v>5.4103000000000012</v>
      </c>
    </row>
    <row r="13" spans="1:8" s="18" customFormat="1" x14ac:dyDescent="0.35">
      <c r="A13" s="14" t="s">
        <v>12</v>
      </c>
      <c r="B13" s="15">
        <v>0.88863599999999998</v>
      </c>
      <c r="C13" s="15">
        <v>0.707646</v>
      </c>
      <c r="D13" s="15">
        <v>1.115917</v>
      </c>
      <c r="E13" s="16">
        <v>0.30958770000000002</v>
      </c>
      <c r="F13" s="17">
        <f t="shared" si="0"/>
        <v>0.30958770000000002</v>
      </c>
      <c r="G13" s="18" t="str">
        <f t="shared" si="1"/>
        <v>Little Evidence</v>
      </c>
      <c r="H13" s="18">
        <f t="shared" si="2"/>
        <v>-11.136400000000002</v>
      </c>
    </row>
    <row r="14" spans="1:8" x14ac:dyDescent="0.35">
      <c r="F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PredProb</vt:lpstr>
      <vt:lpstr>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Afeena Gafoor</dc:creator>
  <cp:lastModifiedBy>Afeena Gafoor</cp:lastModifiedBy>
  <dcterms:created xsi:type="dcterms:W3CDTF">2015-06-05T18:17:20Z</dcterms:created>
  <dcterms:modified xsi:type="dcterms:W3CDTF">2025-10-06T17:04:16Z</dcterms:modified>
</cp:coreProperties>
</file>