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Time\"/>
    </mc:Choice>
  </mc:AlternateContent>
  <xr:revisionPtr revIDLastSave="0" documentId="13_ncr:1_{69EEB633-18F8-45E9-B483-97CBF975B5A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3" r:id="rId1"/>
    <sheet name="PredProb" sheetId="1" r:id="rId2"/>
    <sheet name="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G3" i="2"/>
  <c r="G2" i="2"/>
  <c r="F3" i="2"/>
  <c r="F2" i="2"/>
</calcChain>
</file>

<file path=xl/sharedStrings.xml><?xml version="1.0" encoding="utf-8"?>
<sst xmlns="http://schemas.openxmlformats.org/spreadsheetml/2006/main" count="33" uniqueCount="28">
  <si>
    <t>Season</t>
  </si>
  <si>
    <t>PredProb_Severe</t>
  </si>
  <si>
    <t>TimeSeason_WINTER</t>
  </si>
  <si>
    <t>OR</t>
  </si>
  <si>
    <t>pval</t>
  </si>
  <si>
    <t>Intercept</t>
  </si>
  <si>
    <t>pval_new</t>
  </si>
  <si>
    <t>Consideration</t>
  </si>
  <si>
    <t>%OddRatio</t>
  </si>
  <si>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</si>
  <si>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</si>
  <si>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</si>
  <si>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10042</t>
  </si>
  <si>
    <t>Method:                           MLE   Df Model:                            1</t>
  </si>
  <si>
    <t>Date:                Mon</t>
  </si>
  <si>
    <t xml:space="preserve"> 06 Oct 2025   Pseudo R-squ.:               3.828e-05</t>
  </si>
  <si>
    <t>Time:                        11:57:48   Log-Likelihood:                -5781.1</t>
  </si>
  <si>
    <t>converged:                       True   LL-Null:                       -5781.3</t>
  </si>
  <si>
    <t>Covariance Type:            nonrobust   LLR p-value:                    0.5059</t>
  </si>
  <si>
    <t>=====================================================================================</t>
  </si>
  <si>
    <t xml:space="preserve">                        coef    std err          z      P&gt;|z|      [0.025      0.975]</t>
  </si>
  <si>
    <t>-------------------------------------------------------------------------------------</t>
  </si>
  <si>
    <t>Intercept             1.0410      0.026     40.806      0.000       0.991       1.091</t>
  </si>
  <si>
    <t>TimeSeason_WINTER    -0.0371      0.056     -0.666      0.505      -0.146       0.072</t>
  </si>
  <si>
    <t>=====================================================================================Season</t>
  </si>
  <si>
    <t>Winter hours has an OR=73.2%</t>
  </si>
  <si>
    <t>use intercept (from OR) to calculate NonWinter hours has an OR=73.9%</t>
  </si>
  <si>
    <t>Calculation above uses logodds= ln(2.832131) where 2.82131 is the 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</si>
</sst>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0" fillId="2" borderId="2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D0CA-1291-48FF-8453-AAB3ED4F58A2}">
  <dimension ref="A1:D19"/>
  <sheetViews>
    <sheetView workbookViewId="0">
      <selection activeCell="A14" sqref="A14"/>
    </sheetView>
  </sheetViews>
  <sheetFormatPr defaultRowHeight="14.5" x14ac:dyDescent="0.35"/>
  <cols>
    <col min="1" max="1" width="93.54296875" bestFit="1" customWidth="1"/>
    <col min="2" max="2" width="40.36328125" bestFit="1" customWidth="1"/>
    <col min="3" max="4" width="11.81640625" bestFit="1" customWidth="1"/>
  </cols>
  <sheetData>
    <row r="1" spans="1:2" x14ac:dyDescent="0.35">
      <c r="A1" t="s">
        <v>9</v>
      </c>
    </row>
    <row r="2" spans="1:2" x14ac:dyDescent="0.35">
      <c r="A2" t="s">
        <v>10</v>
      </c>
    </row>
    <row r="3" spans="1:2" x14ac:dyDescent="0.35">
      <c r="A3" t="s">
        <v>11</v>
      </c>
    </row>
    <row r="4" spans="1:2" x14ac:dyDescent="0.35">
      <c r="A4" t="s">
        <v>12</v>
      </c>
    </row>
    <row r="5" spans="1:2" x14ac:dyDescent="0.35">
      <c r="A5" t="s">
        <v>13</v>
      </c>
    </row>
    <row r="6" spans="1:2" x14ac:dyDescent="0.35">
      <c r="A6" t="s">
        <v>14</v>
      </c>
      <c r="B6" t="s">
        <v>15</v>
      </c>
    </row>
    <row r="7" spans="1:2" x14ac:dyDescent="0.35">
      <c r="A7" t="s">
        <v>16</v>
      </c>
    </row>
    <row r="8" spans="1:2" x14ac:dyDescent="0.35">
      <c r="A8" t="s">
        <v>17</v>
      </c>
    </row>
    <row r="9" spans="1:2" x14ac:dyDescent="0.35">
      <c r="A9" t="s">
        <v>18</v>
      </c>
    </row>
    <row r="10" spans="1:2" x14ac:dyDescent="0.35">
      <c r="A10" t="s">
        <v>19</v>
      </c>
    </row>
    <row r="11" spans="1:2" x14ac:dyDescent="0.35">
      <c r="A11" t="s">
        <v>20</v>
      </c>
    </row>
    <row r="12" spans="1:2" x14ac:dyDescent="0.35">
      <c r="A12" t="s">
        <v>21</v>
      </c>
    </row>
    <row r="13" spans="1:2" x14ac:dyDescent="0.35">
      <c r="A13" t="s">
        <v>22</v>
      </c>
    </row>
    <row r="14" spans="1:2" x14ac:dyDescent="0.35">
      <c r="A14" t="s">
        <v>23</v>
      </c>
    </row>
    <row r="15" spans="1:2" x14ac:dyDescent="0.35">
      <c r="A15" t="s">
        <v>24</v>
      </c>
      <c r="B15" t="s">
        <v>1</v>
      </c>
    </row>
    <row r="16" spans="1:2" x14ac:dyDescent="0.35">
      <c r="A16" t="s">
        <v>2</v>
      </c>
      <c r="B16">
        <v>0.73182474723158397</v>
      </c>
    </row>
    <row r="17" spans="1:4" x14ac:dyDescent="0.35">
      <c r="A17" t="s">
        <v>3</v>
      </c>
      <c r="B17" s="3">
        <v>2.5000000000000001E-2</v>
      </c>
      <c r="C17" s="3">
        <v>0.97499999999999998</v>
      </c>
      <c r="D17" t="s">
        <v>4</v>
      </c>
    </row>
    <row r="18" spans="1:4" x14ac:dyDescent="0.35">
      <c r="A18">
        <v>2.8321308321308498</v>
      </c>
      <c r="B18">
        <v>2.6940017307278499</v>
      </c>
      <c r="C18">
        <v>2.9773422039113102</v>
      </c>
      <c r="D18">
        <v>0</v>
      </c>
    </row>
    <row r="19" spans="1:4" x14ac:dyDescent="0.35">
      <c r="A19">
        <v>0.96355183045819304</v>
      </c>
      <c r="B19">
        <v>0.86387543987674997</v>
      </c>
      <c r="C19">
        <v>1.07472916478768</v>
      </c>
      <c r="D19">
        <v>0.50514282061970395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4.5" x14ac:dyDescent="0.35"/>
  <cols>
    <col min="1" max="1" width="21.453125" customWidth="1"/>
    <col min="2" max="2" width="24.81640625" customWidth="1"/>
    <col min="3" max="3" width="65.26953125" bestFit="1" customWidth="1"/>
  </cols>
  <sheetData>
    <row r="1" spans="1:3" x14ac:dyDescent="0.35">
      <c r="A1" s="1" t="s">
        <v>0</v>
      </c>
      <c r="B1" s="1" t="s">
        <v>1</v>
      </c>
    </row>
    <row r="2" spans="1:3" ht="19.5" customHeight="1" x14ac:dyDescent="0.35">
      <c r="A2" s="2" t="s">
        <v>2</v>
      </c>
      <c r="B2" s="2">
        <v>0.73182499999999995</v>
      </c>
    </row>
    <row r="5" spans="1:3" x14ac:dyDescent="0.35">
      <c r="C5" s="8" t="s">
        <v>26</v>
      </c>
    </row>
    <row r="6" spans="1:3" x14ac:dyDescent="0.35">
      <c r="C6" s="8" t="s">
        <v>25</v>
      </c>
    </row>
    <row r="8" spans="1:3" x14ac:dyDescent="0.35">
      <c r="C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3282-4AC1-4452-A458-79AE21DD70F3}">
  <dimension ref="A1:H14"/>
  <sheetViews>
    <sheetView workbookViewId="0">
      <selection activeCell="I6" sqref="I6:I7"/>
    </sheetView>
  </sheetViews>
  <sheetFormatPr defaultRowHeight="14.5" x14ac:dyDescent="0.35"/>
  <cols>
    <col min="1" max="1" width="17.54296875" style="8" customWidth="1"/>
    <col min="2" max="4" width="8.7265625" style="8"/>
    <col min="5" max="5" width="0" style="8" hidden="1" customWidth="1"/>
    <col min="6" max="6" width="17.36328125" style="8" customWidth="1"/>
    <col min="7" max="7" width="15.54296875" style="8" customWidth="1"/>
    <col min="8" max="8" width="16.36328125" style="8" customWidth="1"/>
    <col min="9" max="9" width="50.7265625" style="8" bestFit="1" customWidth="1"/>
    <col min="10" max="16384" width="8.7265625" style="8"/>
  </cols>
  <sheetData>
    <row r="1" spans="1:8" s="6" customFormat="1" x14ac:dyDescent="0.35">
      <c r="A1" s="4"/>
      <c r="B1" s="4" t="s">
        <v>3</v>
      </c>
      <c r="C1" s="5">
        <v>2.5000000000000001E-2</v>
      </c>
      <c r="D1" s="5">
        <v>0.97499999999999998</v>
      </c>
      <c r="E1" s="4" t="s">
        <v>4</v>
      </c>
      <c r="F1" s="6" t="s">
        <v>6</v>
      </c>
      <c r="G1" s="6" t="s">
        <v>7</v>
      </c>
      <c r="H1" s="6" t="s">
        <v>8</v>
      </c>
    </row>
    <row r="2" spans="1:8" x14ac:dyDescent="0.35">
      <c r="A2" s="4" t="s">
        <v>5</v>
      </c>
      <c r="B2" s="7">
        <v>2.832131</v>
      </c>
      <c r="C2" s="7">
        <v>2.6940019999999998</v>
      </c>
      <c r="D2" s="7">
        <v>2.9773420000000002</v>
      </c>
      <c r="E2" s="7">
        <v>0</v>
      </c>
      <c r="F2" s="8">
        <f>E2*1</f>
        <v>0</v>
      </c>
      <c r="G2" s="8" t="str">
        <f>IF(F2&lt;0.01, "Very Strong", IF(F2&lt;0.05, "Strong", IF(F2&lt;0.1,"Moderate","Little Evidence")))</f>
        <v>Very Strong</v>
      </c>
      <c r="H2" s="8">
        <f>(B2-1)*100</f>
        <v>183.2131</v>
      </c>
    </row>
    <row r="3" spans="1:8" s="9" customFormat="1" x14ac:dyDescent="0.35">
      <c r="A3" s="10" t="s">
        <v>2</v>
      </c>
      <c r="B3" s="11">
        <v>0.96355199999999996</v>
      </c>
      <c r="C3" s="11">
        <v>0.86387499999999995</v>
      </c>
      <c r="D3" s="11">
        <v>1.074729</v>
      </c>
      <c r="E3" s="11">
        <v>0.50514300000000001</v>
      </c>
      <c r="F3" s="9">
        <f>E3*1</f>
        <v>0.50514300000000001</v>
      </c>
      <c r="G3" s="9" t="str">
        <f>IF(F3&lt;0.01, "Very Strong", IF(F3&lt;0.05, "Strong", IF(F3&lt;0.1,"Moderate","Little Evidence")))</f>
        <v>Little Evidence</v>
      </c>
      <c r="H3" s="9">
        <f>(B3-1)*100</f>
        <v>-3.6448000000000036</v>
      </c>
    </row>
    <row r="14" spans="1:8" x14ac:dyDescent="0.35">
      <c r="D14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PredProb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2015-06-05T18:17:20Z</dcterms:created>
  <dcterms:modified xsi:type="dcterms:W3CDTF">2025-10-06T18:27:08Z</dcterms:modified>
</cp:coreProperties>
</file>