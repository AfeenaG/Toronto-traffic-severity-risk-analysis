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Time\"/>
    </mc:Choice>
  </mc:AlternateContent>
  <xr:revisionPtr revIDLastSave="0" documentId="13_ncr:1_{AC9614FB-F151-45A7-9E46-B70D38A4513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PredProb" sheetId="2" r:id="rId2"/>
    <sheet name="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2" i="3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</calcChain>
</file>

<file path=xl/sharedStrings.xml><?xml version="1.0" encoding="utf-8"?>
<sst xmlns="http://schemas.openxmlformats.org/spreadsheetml/2006/main" count="54" uniqueCount="37">
  <si>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</si>
  <si>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</si>
  <si>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</si>
  <si>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10036</t>
  </si>
  <si>
    <t>Method:                           MLE   Df Model:                            7</t>
  </si>
  <si>
    <t>Date:                Mon</t>
  </si>
  <si>
    <t xml:space="preserve"> 06 Oct 2025   Pseudo R-squ.:                0.003163</t>
  </si>
  <si>
    <t>Time:                        15:13:20   Log-Likelihood:                -5763.0</t>
  </si>
  <si>
    <t>converged:                       True   LL-Null:                       -5781.3</t>
  </si>
  <si>
    <t>Covariance Type:            nonrobust   LLR p-value:                 5.644e-06</t>
  </si>
  <si>
    <t>==============================================================================================</t>
  </si>
  <si>
    <t xml:space="preserve">                                 coef    std err          z      P&gt;|z|      [0.025      0.975]</t>
  </si>
  <si>
    <t>----------------------------------------------------------------------------------------------</t>
  </si>
  <si>
    <t>Intercept                      0.9158      0.057     15.956      0.000       0.803       1.028</t>
  </si>
  <si>
    <t>TimeRange_15_00_to_17_59       0.1626      0.079      2.053      0.040       0.007       0.318</t>
  </si>
  <si>
    <t>TimeRange_18_00_to_20_59       0.2070      0.080      2.600      0.009       0.051       0.363</t>
  </si>
  <si>
    <t>TimeRange_21_00_to_23_59       0.0521      0.084      0.622      0.534      -0.112       0.216</t>
  </si>
  <si>
    <t>TimeRange_3_00_to_5_59        -0.1248      0.108     -1.158      0.247      -0.336       0.086</t>
  </si>
  <si>
    <t>TimeRange_6_00_to_8_59         0.3707      0.097      3.817      0.000       0.180       0.561</t>
  </si>
  <si>
    <t>TimeRange_9_00_to_11_59        0.2310      0.088      2.627      0.009       0.059       0.403</t>
  </si>
  <si>
    <t>TimeRange_Midnight_to_2_59    -0.0790      0.092     -0.856      0.392      -0.260       0.102</t>
  </si>
  <si>
    <t>==============================================================================================TimeRange</t>
  </si>
  <si>
    <t>PredProb_Severe</t>
  </si>
  <si>
    <t>TimeRange_6_00_to_8_59</t>
  </si>
  <si>
    <t>TimeRange_9_00_to_11_59</t>
  </si>
  <si>
    <t>TimeRange_18_00_to_20_59</t>
  </si>
  <si>
    <t>TimeRange_15_00_to_17_59</t>
  </si>
  <si>
    <t>TimeRange_21_00_to_23_59</t>
  </si>
  <si>
    <t>TimeRange_Midnight_to_2_59</t>
  </si>
  <si>
    <t>TimeRange_3_00_to_5_59</t>
  </si>
  <si>
    <t>OR</t>
  </si>
  <si>
    <t>pval</t>
  </si>
  <si>
    <t>Intercept</t>
  </si>
  <si>
    <t>pval_new</t>
  </si>
  <si>
    <t>Consideration</t>
  </si>
  <si>
    <t>%OR</t>
  </si>
  <si>
    <t>TimeRange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</si>
</sst>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11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0" fillId="0" borderId="0" xfId="0" applyNumberFormat="1"/>
    <xf numFmtId="164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164" fontId="0" fillId="2" borderId="0" xfId="0" applyNumberForma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opLeftCell="A10" workbookViewId="0">
      <selection activeCell="F34" sqref="F34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4" x14ac:dyDescent="0.35">
      <c r="A17" t="s">
        <v>17</v>
      </c>
    </row>
    <row r="18" spans="1:4" x14ac:dyDescent="0.35">
      <c r="A18" t="s">
        <v>18</v>
      </c>
    </row>
    <row r="19" spans="1:4" x14ac:dyDescent="0.35">
      <c r="A19" t="s">
        <v>19</v>
      </c>
    </row>
    <row r="20" spans="1:4" x14ac:dyDescent="0.35">
      <c r="A20" t="s">
        <v>20</v>
      </c>
    </row>
    <row r="21" spans="1:4" x14ac:dyDescent="0.35">
      <c r="A21" t="s">
        <v>21</v>
      </c>
      <c r="B21" t="s">
        <v>22</v>
      </c>
    </row>
    <row r="22" spans="1:4" x14ac:dyDescent="0.35">
      <c r="A22" t="s">
        <v>23</v>
      </c>
      <c r="B22">
        <v>0.78355879299999998</v>
      </c>
    </row>
    <row r="23" spans="1:4" x14ac:dyDescent="0.35">
      <c r="A23" t="s">
        <v>24</v>
      </c>
      <c r="B23">
        <v>0.758928571</v>
      </c>
    </row>
    <row r="24" spans="1:4" x14ac:dyDescent="0.35">
      <c r="A24" t="s">
        <v>25</v>
      </c>
      <c r="B24">
        <v>0.75450450499999999</v>
      </c>
    </row>
    <row r="25" spans="1:4" x14ac:dyDescent="0.35">
      <c r="A25" t="s">
        <v>26</v>
      </c>
      <c r="B25">
        <v>0.74619289300000002</v>
      </c>
    </row>
    <row r="26" spans="1:4" x14ac:dyDescent="0.35">
      <c r="A26" t="s">
        <v>27</v>
      </c>
      <c r="B26">
        <v>0.72470238099999995</v>
      </c>
    </row>
    <row r="27" spans="1:4" x14ac:dyDescent="0.35">
      <c r="A27" t="s">
        <v>28</v>
      </c>
      <c r="B27">
        <v>0.69780219799999998</v>
      </c>
    </row>
    <row r="28" spans="1:4" x14ac:dyDescent="0.35">
      <c r="A28" t="s">
        <v>29</v>
      </c>
      <c r="B28">
        <v>0.68805704099999998</v>
      </c>
    </row>
    <row r="29" spans="1:4" x14ac:dyDescent="0.35">
      <c r="A29" t="s">
        <v>30</v>
      </c>
      <c r="B29" s="1">
        <v>2.5000000000000001E-2</v>
      </c>
      <c r="C29" s="1">
        <v>0.97499999999999998</v>
      </c>
      <c r="D29" t="s">
        <v>31</v>
      </c>
    </row>
    <row r="30" spans="1:4" x14ac:dyDescent="0.35">
      <c r="A30">
        <v>2.498823529</v>
      </c>
      <c r="B30">
        <v>2.2329453570000002</v>
      </c>
      <c r="C30">
        <v>2.796359979</v>
      </c>
      <c r="D30" s="2">
        <v>2.6099999999999999E-57</v>
      </c>
    </row>
    <row r="31" spans="1:4" x14ac:dyDescent="0.35">
      <c r="A31">
        <v>1.448758692</v>
      </c>
      <c r="B31">
        <v>1.197667359</v>
      </c>
      <c r="C31">
        <v>1.7524914</v>
      </c>
      <c r="D31">
        <v>1.3485999999999999E-4</v>
      </c>
    </row>
    <row r="32" spans="1:4" x14ac:dyDescent="0.35">
      <c r="A32">
        <v>1.2598521309999999</v>
      </c>
      <c r="B32">
        <v>1.0604161599999999</v>
      </c>
      <c r="C32">
        <v>1.496796684</v>
      </c>
      <c r="D32">
        <v>8.6108969999999993E-3</v>
      </c>
    </row>
    <row r="33" spans="1:4" x14ac:dyDescent="0.35">
      <c r="A33">
        <v>1.2299365920000001</v>
      </c>
      <c r="B33">
        <v>1.0522924410000001</v>
      </c>
      <c r="C33">
        <v>1.437569976</v>
      </c>
      <c r="D33">
        <v>9.3117180000000001E-3</v>
      </c>
    </row>
    <row r="34" spans="1:4" x14ac:dyDescent="0.35">
      <c r="A34">
        <v>1.1765536720000001</v>
      </c>
      <c r="B34">
        <v>1.007387544</v>
      </c>
      <c r="C34">
        <v>1.374127119</v>
      </c>
      <c r="D34">
        <v>4.0082451999999998E-2</v>
      </c>
    </row>
    <row r="35" spans="1:4" x14ac:dyDescent="0.35">
      <c r="A35">
        <v>1.0534687229999999</v>
      </c>
      <c r="B35">
        <v>0.89388829400000003</v>
      </c>
      <c r="C35">
        <v>1.2415380730000001</v>
      </c>
      <c r="D35">
        <v>0.53426333199999998</v>
      </c>
    </row>
    <row r="36" spans="1:4" x14ac:dyDescent="0.35">
      <c r="A36">
        <v>0.92407122100000005</v>
      </c>
      <c r="B36">
        <v>0.77126230200000001</v>
      </c>
      <c r="C36">
        <v>1.107155916</v>
      </c>
      <c r="D36">
        <v>0.39187636199999998</v>
      </c>
    </row>
    <row r="37" spans="1:4" x14ac:dyDescent="0.35">
      <c r="A37">
        <v>0.88270110300000004</v>
      </c>
      <c r="B37">
        <v>0.71472398100000001</v>
      </c>
      <c r="C37">
        <v>1.090156841</v>
      </c>
      <c r="D37">
        <v>0.24667160199999999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6D7D-EF82-4793-8277-7C84FA22713B}">
  <dimension ref="A1:B8"/>
  <sheetViews>
    <sheetView workbookViewId="0">
      <selection activeCell="E11" sqref="E11"/>
    </sheetView>
  </sheetViews>
  <sheetFormatPr defaultRowHeight="14.5" x14ac:dyDescent="0.35"/>
  <cols>
    <col min="1" max="1" width="24.36328125" bestFit="1" customWidth="1"/>
    <col min="2" max="2" width="14" bestFit="1" customWidth="1"/>
  </cols>
  <sheetData>
    <row r="1" spans="1:2" x14ac:dyDescent="0.35">
      <c r="A1" s="4" t="s">
        <v>36</v>
      </c>
      <c r="B1" s="4" t="s">
        <v>22</v>
      </c>
    </row>
    <row r="2" spans="1:2" x14ac:dyDescent="0.35">
      <c r="A2" s="6" t="s">
        <v>23</v>
      </c>
      <c r="B2" s="6">
        <v>0.78355900000000001</v>
      </c>
    </row>
    <row r="3" spans="1:2" x14ac:dyDescent="0.35">
      <c r="A3" s="6" t="s">
        <v>24</v>
      </c>
      <c r="B3" s="6">
        <v>0.75892899999999996</v>
      </c>
    </row>
    <row r="4" spans="1:2" x14ac:dyDescent="0.35">
      <c r="A4" s="6" t="s">
        <v>25</v>
      </c>
      <c r="B4" s="6">
        <v>0.75450499999999998</v>
      </c>
    </row>
    <row r="5" spans="1:2" x14ac:dyDescent="0.35">
      <c r="A5" s="6" t="s">
        <v>26</v>
      </c>
      <c r="B5" s="6">
        <v>0.746193</v>
      </c>
    </row>
    <row r="6" spans="1:2" x14ac:dyDescent="0.35">
      <c r="A6" s="6" t="s">
        <v>27</v>
      </c>
      <c r="B6" s="6">
        <v>0.72470199999999996</v>
      </c>
    </row>
    <row r="7" spans="1:2" x14ac:dyDescent="0.35">
      <c r="A7" s="6" t="s">
        <v>28</v>
      </c>
      <c r="B7" s="6">
        <v>0.69780200000000003</v>
      </c>
    </row>
    <row r="8" spans="1:2" x14ac:dyDescent="0.35">
      <c r="A8" s="6" t="s">
        <v>29</v>
      </c>
      <c r="B8" s="6">
        <v>0.68805700000000003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66F5-E344-454F-BC55-9A927067E0D8}">
  <dimension ref="A1:H9"/>
  <sheetViews>
    <sheetView tabSelected="1" workbookViewId="0">
      <selection activeCellId="2" sqref="A4:H9 B2:H3 A1:H1"/>
    </sheetView>
  </sheetViews>
  <sheetFormatPr defaultRowHeight="14.5" x14ac:dyDescent="0.35"/>
  <cols>
    <col min="1" max="1" width="24.36328125" bestFit="1" customWidth="1"/>
    <col min="2" max="4" width="7.6328125" bestFit="1" customWidth="1"/>
    <col min="5" max="5" width="11.26953125" hidden="1" customWidth="1"/>
    <col min="6" max="6" width="12.36328125" bestFit="1" customWidth="1"/>
    <col min="7" max="7" width="12.6328125" bestFit="1" customWidth="1"/>
    <col min="8" max="8" width="8.81640625" bestFit="1" customWidth="1"/>
  </cols>
  <sheetData>
    <row r="1" spans="1:8" x14ac:dyDescent="0.35">
      <c r="A1" s="4"/>
      <c r="B1" s="4" t="s">
        <v>30</v>
      </c>
      <c r="C1" s="5">
        <v>2.5000000000000001E-2</v>
      </c>
      <c r="D1" s="5">
        <v>0.97499999999999998</v>
      </c>
      <c r="E1" s="4" t="s">
        <v>31</v>
      </c>
      <c r="F1" s="3" t="s">
        <v>33</v>
      </c>
      <c r="G1" s="3" t="s">
        <v>34</v>
      </c>
      <c r="H1" s="3" t="s">
        <v>35</v>
      </c>
    </row>
    <row r="2" spans="1:8" x14ac:dyDescent="0.35">
      <c r="A2" s="4" t="s">
        <v>32</v>
      </c>
      <c r="B2" s="6">
        <v>2.4988239999999999</v>
      </c>
      <c r="C2" s="6">
        <v>2.232945</v>
      </c>
      <c r="D2" s="6">
        <v>2.79636</v>
      </c>
      <c r="E2" s="8">
        <v>2.6072869999999998E-57</v>
      </c>
      <c r="F2" s="7">
        <f>1*E2</f>
        <v>2.6072869999999998E-57</v>
      </c>
      <c r="G2" t="str">
        <f>IF(F1&lt;0.01, "Very Strong", IF(F1&lt;0.05, "Strong", IF(F1&lt;0.1,"Moderate","Little Evidence")))</f>
        <v>Little Evidence</v>
      </c>
      <c r="H2">
        <f>(B2-1)*100</f>
        <v>149.88239999999999</v>
      </c>
    </row>
    <row r="3" spans="1:8" x14ac:dyDescent="0.35">
      <c r="A3" s="9" t="s">
        <v>23</v>
      </c>
      <c r="B3" s="10">
        <v>1.4487589999999999</v>
      </c>
      <c r="C3" s="10">
        <v>1.197667</v>
      </c>
      <c r="D3" s="10">
        <v>1.752491</v>
      </c>
      <c r="E3" s="11">
        <v>1.3486020000000001E-4</v>
      </c>
      <c r="F3" s="12">
        <f t="shared" ref="F3:F9" si="0">1*E3</f>
        <v>1.3486020000000001E-4</v>
      </c>
      <c r="G3" s="13" t="str">
        <f t="shared" ref="G3:G9" si="1">IF(F2&lt;0.01, "Very Strong", IF(F2&lt;0.05, "Strong", IF(F2&lt;0.1,"Moderate","Little Evidence")))</f>
        <v>Very Strong</v>
      </c>
      <c r="H3" s="13">
        <f t="shared" ref="H3:H9" si="2">(B3-1)*100</f>
        <v>44.875899999999987</v>
      </c>
    </row>
    <row r="4" spans="1:8" x14ac:dyDescent="0.35">
      <c r="A4" s="9" t="s">
        <v>24</v>
      </c>
      <c r="B4" s="10">
        <v>1.259852</v>
      </c>
      <c r="C4" s="10">
        <v>1.060416</v>
      </c>
      <c r="D4" s="10">
        <v>1.4967969999999999</v>
      </c>
      <c r="E4" s="11">
        <v>8.6108969999999993E-3</v>
      </c>
      <c r="F4" s="12">
        <f t="shared" si="0"/>
        <v>8.6108969999999993E-3</v>
      </c>
      <c r="G4" s="13" t="str">
        <f t="shared" si="1"/>
        <v>Very Strong</v>
      </c>
      <c r="H4" s="13">
        <f t="shared" si="2"/>
        <v>25.985199999999999</v>
      </c>
    </row>
    <row r="5" spans="1:8" x14ac:dyDescent="0.35">
      <c r="A5" s="9" t="s">
        <v>25</v>
      </c>
      <c r="B5" s="10">
        <v>1.2299370000000001</v>
      </c>
      <c r="C5" s="10">
        <v>1.052292</v>
      </c>
      <c r="D5" s="10">
        <v>1.43757</v>
      </c>
      <c r="E5" s="11">
        <v>9.3117180000000001E-3</v>
      </c>
      <c r="F5" s="12">
        <f t="shared" si="0"/>
        <v>9.3117180000000001E-3</v>
      </c>
      <c r="G5" s="13" t="str">
        <f t="shared" si="1"/>
        <v>Very Strong</v>
      </c>
      <c r="H5" s="13">
        <f t="shared" si="2"/>
        <v>22.993700000000004</v>
      </c>
    </row>
    <row r="6" spans="1:8" x14ac:dyDescent="0.35">
      <c r="A6" s="9" t="s">
        <v>26</v>
      </c>
      <c r="B6" s="10">
        <v>1.1765540000000001</v>
      </c>
      <c r="C6" s="10">
        <v>1.007388</v>
      </c>
      <c r="D6" s="10">
        <v>1.3741270000000001</v>
      </c>
      <c r="E6" s="11">
        <v>4.0082449999999999E-2</v>
      </c>
      <c r="F6" s="12">
        <f t="shared" si="0"/>
        <v>4.0082449999999999E-2</v>
      </c>
      <c r="G6" s="13" t="str">
        <f t="shared" si="1"/>
        <v>Very Strong</v>
      </c>
      <c r="H6" s="13">
        <f t="shared" si="2"/>
        <v>17.655400000000011</v>
      </c>
    </row>
    <row r="7" spans="1:8" x14ac:dyDescent="0.35">
      <c r="A7" s="9" t="s">
        <v>27</v>
      </c>
      <c r="B7" s="10">
        <v>1.053469</v>
      </c>
      <c r="C7" s="10">
        <v>0.89388800000000002</v>
      </c>
      <c r="D7" s="10">
        <v>1.241538</v>
      </c>
      <c r="E7" s="11">
        <v>0.5342633</v>
      </c>
      <c r="F7" s="12">
        <f t="shared" si="0"/>
        <v>0.5342633</v>
      </c>
      <c r="G7" s="13" t="str">
        <f t="shared" si="1"/>
        <v>Strong</v>
      </c>
      <c r="H7" s="13">
        <f t="shared" si="2"/>
        <v>5.3468999999999989</v>
      </c>
    </row>
    <row r="8" spans="1:8" s="18" customFormat="1" x14ac:dyDescent="0.35">
      <c r="A8" s="14" t="s">
        <v>28</v>
      </c>
      <c r="B8" s="15">
        <v>0.92407099999999998</v>
      </c>
      <c r="C8" s="15">
        <v>0.771262</v>
      </c>
      <c r="D8" s="15">
        <v>1.107156</v>
      </c>
      <c r="E8" s="16">
        <v>0.39187640000000001</v>
      </c>
      <c r="F8" s="17">
        <f t="shared" si="0"/>
        <v>0.39187640000000001</v>
      </c>
      <c r="G8" s="18" t="str">
        <f t="shared" si="1"/>
        <v>Little Evidence</v>
      </c>
      <c r="H8" s="18">
        <f t="shared" si="2"/>
        <v>-7.592900000000002</v>
      </c>
    </row>
    <row r="9" spans="1:8" s="18" customFormat="1" x14ac:dyDescent="0.35">
      <c r="A9" s="14" t="s">
        <v>29</v>
      </c>
      <c r="B9" s="15">
        <v>0.88270099999999996</v>
      </c>
      <c r="C9" s="15">
        <v>0.71472400000000003</v>
      </c>
      <c r="D9" s="15">
        <v>1.090157</v>
      </c>
      <c r="E9" s="16">
        <v>0.24667159999999999</v>
      </c>
      <c r="F9" s="17">
        <f t="shared" si="0"/>
        <v>0.24667159999999999</v>
      </c>
      <c r="G9" s="18" t="str">
        <f t="shared" si="1"/>
        <v>Little Evidence</v>
      </c>
      <c r="H9" s="18">
        <f t="shared" si="2"/>
        <v>-11.729900000000004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PredProb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2015-06-05T18:17:20Z</dcterms:created>
  <dcterms:modified xsi:type="dcterms:W3CDTF">2025-10-13T20:08:59Z</dcterms:modified>
</cp:coreProperties>
</file>