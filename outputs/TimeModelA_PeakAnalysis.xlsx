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feen\Documents\MBAI\Business Analytics\FlaskProjects\Master Code (BA)\04Regression\Time\"/>
    </mc:Choice>
  </mc:AlternateContent>
  <xr:revisionPtr revIDLastSave="0" documentId="13_ncr:1_{DC17A3E4-B01A-47A2-BD8B-B7DF3CE9AFB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PredProb" sheetId="2" r:id="rId2"/>
    <sheet name="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H3" i="3"/>
  <c r="G3" i="3"/>
  <c r="F3" i="3"/>
  <c r="F2" i="3"/>
</calcChain>
</file>

<file path=xl/sharedStrings.xml><?xml version="1.0" encoding="utf-8"?>
<sst xmlns="http://schemas.openxmlformats.org/spreadsheetml/2006/main" count="32" uniqueCount="27">
  <si>
    <t>PeakOffPeak</t>
  </si>
  <si>
    <t>PredProb_Severe</t>
  </si>
  <si>
    <t>TimePeakOffPeak_OFF_PEAK</t>
  </si>
  <si>
    <t>OR</t>
  </si>
  <si>
    <t>pval</t>
  </si>
  <si>
    <t>Intercept</t>
  </si>
  <si>
    <t>pval_new</t>
  </si>
  <si>
    <t>Consideration</t>
  </si>
  <si>
    <t>%OddRatio</t>
  </si>
  <si>
    <t xml:space="preserve">                           Logit Regression Results                           </t>
  </si>
  <si>
    <t>==============================================================================</t>
  </si>
  <si>
    <t>Dep. Variable:           SevereInjury   No. Observations:                10044</t>
  </si>
  <si>
    <t>Model:                          Logit   Df Residuals:                    10042</t>
  </si>
  <si>
    <t>Method:                           MLE   Df Model:                            1</t>
  </si>
  <si>
    <t>Date:                Mon</t>
  </si>
  <si>
    <t xml:space="preserve"> 06 Oct 2025   Pseudo R-squ.:                0.001439</t>
  </si>
  <si>
    <t>Time:                        11:57:48   Log-Likelihood:                -5773.0</t>
  </si>
  <si>
    <t>converged:                       True   LL-Null:                       -5781.3</t>
  </si>
  <si>
    <t>Covariance Type:            nonrobust   LLR p-value:                 4.523e-05</t>
  </si>
  <si>
    <t>============================================================================================</t>
  </si>
  <si>
    <t xml:space="preserve">                               coef    std err          z      P&gt;|z|      [0.025      0.975]</t>
  </si>
  <si>
    <t>--------------------------------------------------------------------------------------------</t>
  </si>
  <si>
    <t>Intercept                    1.1369      0.034     32.972      0.000       1.069       1.204</t>
  </si>
  <si>
    <t>TimePeakOffPeak_OFF_PEAK    -0.1864      0.046     -4.070      0.000      -0.276      -0.097</t>
  </si>
  <si>
    <t>============================================================================================PeakOffPeak</t>
  </si>
  <si>
    <t>Off peak: 72.1%</t>
  </si>
  <si>
    <t>Use intercept to calculate Peak: 75.7%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</si>
</sst>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0" fontId="0" fillId="0" borderId="0" xfId="0" applyNumberFormat="1"/>
    <xf numFmtId="11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/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164" fontId="0" fillId="0" borderId="2" xfId="0" applyNumberFormat="1" applyBorder="1"/>
    <xf numFmtId="0" fontId="0" fillId="0" borderId="2" xfId="0" applyBorder="1"/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164" fontId="2" fillId="2" borderId="2" xfId="0" applyNumberFormat="1" applyFont="1" applyFill="1" applyBorder="1" applyAlignment="1">
      <alignment vertical="center" wrapText="1"/>
    </xf>
    <xf numFmtId="164" fontId="0" fillId="2" borderId="2" xfId="0" applyNumberFormat="1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opLeftCell="A10" workbookViewId="0">
      <selection activeCell="A9" sqref="A9"/>
    </sheetView>
  </sheetViews>
  <sheetFormatPr defaultRowHeight="14.5" x14ac:dyDescent="0.35"/>
  <cols>
    <col min="1" max="1" width="105.36328125" bestFit="1" customWidth="1"/>
    <col min="2" max="2" width="40.1796875" bestFit="1" customWidth="1"/>
    <col min="3" max="3" width="11.81640625" bestFit="1" customWidth="1"/>
    <col min="4" max="4" width="9" bestFit="1" customWidth="1"/>
  </cols>
  <sheetData>
    <row r="1" spans="1:2" x14ac:dyDescent="0.35">
      <c r="A1" t="s">
        <v>9</v>
      </c>
    </row>
    <row r="2" spans="1:2" x14ac:dyDescent="0.35">
      <c r="A2" t="s">
        <v>10</v>
      </c>
    </row>
    <row r="3" spans="1:2" x14ac:dyDescent="0.35">
      <c r="A3" t="s">
        <v>11</v>
      </c>
    </row>
    <row r="4" spans="1:2" x14ac:dyDescent="0.35">
      <c r="A4" t="s">
        <v>12</v>
      </c>
    </row>
    <row r="5" spans="1:2" x14ac:dyDescent="0.35">
      <c r="A5" t="s">
        <v>13</v>
      </c>
    </row>
    <row r="6" spans="1:2" x14ac:dyDescent="0.35">
      <c r="A6" t="s">
        <v>14</v>
      </c>
      <c r="B6" t="s">
        <v>15</v>
      </c>
    </row>
    <row r="7" spans="1:2" x14ac:dyDescent="0.35">
      <c r="A7" t="s">
        <v>16</v>
      </c>
    </row>
    <row r="8" spans="1:2" x14ac:dyDescent="0.35">
      <c r="A8" t="s">
        <v>17</v>
      </c>
    </row>
    <row r="9" spans="1:2" x14ac:dyDescent="0.35">
      <c r="A9" t="s">
        <v>18</v>
      </c>
    </row>
    <row r="10" spans="1:2" x14ac:dyDescent="0.35">
      <c r="A10" t="s">
        <v>19</v>
      </c>
    </row>
    <row r="11" spans="1:2" x14ac:dyDescent="0.35">
      <c r="A11" t="s">
        <v>20</v>
      </c>
    </row>
    <row r="12" spans="1:2" x14ac:dyDescent="0.35">
      <c r="A12" t="s">
        <v>21</v>
      </c>
    </row>
    <row r="13" spans="1:2" x14ac:dyDescent="0.35">
      <c r="A13" t="s">
        <v>22</v>
      </c>
    </row>
    <row r="14" spans="1:2" x14ac:dyDescent="0.35">
      <c r="A14" t="s">
        <v>23</v>
      </c>
    </row>
    <row r="15" spans="1:2" x14ac:dyDescent="0.35">
      <c r="A15" t="s">
        <v>24</v>
      </c>
      <c r="B15" t="s">
        <v>1</v>
      </c>
    </row>
    <row r="16" spans="1:2" x14ac:dyDescent="0.35">
      <c r="A16" t="s">
        <v>2</v>
      </c>
      <c r="B16">
        <v>0.721206581352833</v>
      </c>
    </row>
    <row r="17" spans="1:4" x14ac:dyDescent="0.35">
      <c r="A17" t="s">
        <v>3</v>
      </c>
      <c r="B17" s="3">
        <v>2.5000000000000001E-2</v>
      </c>
      <c r="C17" s="3">
        <v>0.97499999999999998</v>
      </c>
      <c r="D17" t="s">
        <v>4</v>
      </c>
    </row>
    <row r="18" spans="1:4" x14ac:dyDescent="0.35">
      <c r="A18">
        <v>3.1170117011701199</v>
      </c>
      <c r="B18">
        <v>2.9133265661524201</v>
      </c>
      <c r="C18">
        <v>3.3349374759805701</v>
      </c>
      <c r="D18" s="4">
        <v>2.0343199610660302E-238</v>
      </c>
    </row>
    <row r="19" spans="1:4" x14ac:dyDescent="0.35">
      <c r="A19">
        <v>0.82992477857254199</v>
      </c>
      <c r="B19">
        <v>0.75866423513743098</v>
      </c>
      <c r="C19">
        <v>0.90787875082039804</v>
      </c>
      <c r="D19" s="4">
        <v>4.7036683725601399E-5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9447-B11B-4B27-AC14-21CDB63C6516}">
  <dimension ref="A1:C6"/>
  <sheetViews>
    <sheetView tabSelected="1" workbookViewId="0">
      <selection activeCell="C7" sqref="C7"/>
    </sheetView>
  </sheetViews>
  <sheetFormatPr defaultRowHeight="14.5" x14ac:dyDescent="0.35"/>
  <cols>
    <col min="1" max="1" width="29.7265625" customWidth="1"/>
    <col min="2" max="2" width="29.08984375" customWidth="1"/>
    <col min="3" max="3" width="32.54296875" bestFit="1" customWidth="1"/>
  </cols>
  <sheetData>
    <row r="1" spans="1:3" x14ac:dyDescent="0.35">
      <c r="A1" s="1" t="s">
        <v>0</v>
      </c>
      <c r="B1" s="1" t="s">
        <v>1</v>
      </c>
    </row>
    <row r="2" spans="1:3" x14ac:dyDescent="0.35">
      <c r="A2" s="2" t="s">
        <v>2</v>
      </c>
      <c r="B2" s="2">
        <v>0.72120700000000004</v>
      </c>
    </row>
    <row r="4" spans="1:3" x14ac:dyDescent="0.35">
      <c r="C4" s="11" t="s">
        <v>26</v>
      </c>
    </row>
    <row r="5" spans="1:3" x14ac:dyDescent="0.35">
      <c r="C5" s="11" t="s">
        <v>25</v>
      </c>
    </row>
    <row r="6" spans="1:3" x14ac:dyDescent="0.35">
      <c r="C6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CE698-165E-499E-805C-EFD498D3437D}">
  <dimension ref="A1:H3"/>
  <sheetViews>
    <sheetView workbookViewId="0">
      <selection activeCell="I8" sqref="I6:I8"/>
    </sheetView>
  </sheetViews>
  <sheetFormatPr defaultRowHeight="14.5" x14ac:dyDescent="0.35"/>
  <cols>
    <col min="1" max="1" width="29" style="11" customWidth="1"/>
    <col min="2" max="4" width="8.7265625" style="11"/>
    <col min="5" max="5" width="25.90625" style="11" hidden="1" customWidth="1"/>
    <col min="6" max="6" width="23.81640625" style="11" customWidth="1"/>
    <col min="7" max="7" width="17.81640625" style="11" customWidth="1"/>
    <col min="8" max="8" width="14.90625" style="11" customWidth="1"/>
    <col min="9" max="9" width="37.6328125" style="11" customWidth="1"/>
    <col min="10" max="16384" width="8.7265625" style="11"/>
  </cols>
  <sheetData>
    <row r="1" spans="1:8" s="7" customFormat="1" x14ac:dyDescent="0.35">
      <c r="A1" s="5"/>
      <c r="B1" s="5" t="s">
        <v>3</v>
      </c>
      <c r="C1" s="6">
        <v>2.5000000000000001E-2</v>
      </c>
      <c r="D1" s="6">
        <v>0.97499999999999998</v>
      </c>
      <c r="E1" s="5" t="s">
        <v>4</v>
      </c>
      <c r="F1" s="7" t="s">
        <v>6</v>
      </c>
      <c r="G1" s="7" t="s">
        <v>7</v>
      </c>
      <c r="H1" s="7" t="s">
        <v>8</v>
      </c>
    </row>
    <row r="2" spans="1:8" x14ac:dyDescent="0.35">
      <c r="A2" s="5" t="s">
        <v>5</v>
      </c>
      <c r="B2" s="8">
        <v>3.1170119999999999</v>
      </c>
      <c r="C2" s="8">
        <v>2.9133270000000002</v>
      </c>
      <c r="D2" s="8">
        <v>3.334937</v>
      </c>
      <c r="E2" s="9">
        <v>2.03432E-238</v>
      </c>
      <c r="F2" s="10">
        <f>E2*1</f>
        <v>2.03432E-238</v>
      </c>
      <c r="G2" s="11" t="str">
        <f>IF(F2&lt;0.01, "Very Strong", IF(F2&lt;0.05, "Strong", IF(F2&lt;0.1,"Moderate","Little Evidence")))</f>
        <v>Very Strong</v>
      </c>
    </row>
    <row r="3" spans="1:8" s="16" customFormat="1" x14ac:dyDescent="0.35">
      <c r="A3" s="12" t="s">
        <v>2</v>
      </c>
      <c r="B3" s="13">
        <v>0.82992500000000002</v>
      </c>
      <c r="C3" s="13">
        <v>0.75866400000000001</v>
      </c>
      <c r="D3" s="13">
        <v>0.90787899999999999</v>
      </c>
      <c r="E3" s="14">
        <v>4.7036680000000002E-5</v>
      </c>
      <c r="F3" s="15">
        <f>E3*1</f>
        <v>4.7036680000000002E-5</v>
      </c>
      <c r="G3" s="16" t="str">
        <f>IF(F3&lt;0.01, "Very Strong", IF(F3&lt;0.05, "Strong", IF(F3&lt;0.1,"Moderate","Little Evidence")))</f>
        <v>Very Strong</v>
      </c>
      <c r="H3" s="16">
        <f>(B3-1)*100</f>
        <v>-17.007499999999997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PredProb</vt:lpstr>
      <vt:lpstr>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Afeena Gafoor</dc:creator>
  <cp:lastModifiedBy>Afeena Gafoor</cp:lastModifiedBy>
  <dcterms:created xsi:type="dcterms:W3CDTF">2015-06-05T18:17:20Z</dcterms:created>
  <dcterms:modified xsi:type="dcterms:W3CDTF">2025-10-06T18:08:39Z</dcterms:modified>
</cp:coreProperties>
</file>