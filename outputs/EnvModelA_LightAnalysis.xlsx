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een\Documents\MBAI\Business Analytics\FlaskProjects\Master Code (BA)\04Regression\Env\"/>
    </mc:Choice>
  </mc:AlternateContent>
  <xr:revisionPtr revIDLastSave="0" documentId="13_ncr:1_{BB0CF024-5169-433C-A0C2-82FE7EA82301}" xr6:coauthVersionLast="47" xr6:coauthVersionMax="47" xr10:uidLastSave="{00000000-0000-0000-0000-000000000000}"/>
  <bookViews>
    <workbookView xWindow="-110" yWindow="-110" windowWidth="19420" windowHeight="10300" xr2:uid="{BFA07582-3C3A-4AF1-A7EB-556FB2BB59DB}"/>
  </bookViews>
  <sheets>
    <sheet name="EnvModelA_LightAnalysis" sheetId="1" r:id="rId1"/>
    <sheet name="PredProb" sheetId="2" r:id="rId2"/>
    <sheet name="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2" i="3"/>
  <c r="H3" i="3"/>
  <c r="H4" i="3"/>
  <c r="H5" i="3"/>
  <c r="H6" i="3"/>
  <c r="H7" i="3"/>
  <c r="H8" i="3"/>
  <c r="H9" i="3"/>
  <c r="H10" i="3"/>
  <c r="H2" i="3"/>
</calcChain>
</file>

<file path=xl/sharedStrings.xml><?xml version="1.0" encoding="utf-8"?>
<sst xmlns="http://schemas.openxmlformats.org/spreadsheetml/2006/main" count="58" uniqueCount="39">
  <si>
    <t xml:space="preserve">                           Logit Regression Results                           </t>
  </si>
  <si>
    <t>==============================================================================</t>
  </si>
  <si>
    <t>Dep. Variable:           SevereInjury   No. Observations:                10044</t>
  </si>
  <si>
    <t>Model:                          Logit   Df Residuals:                    10035</t>
  </si>
  <si>
    <t>Method:                           MLE   Df Model:                            8</t>
  </si>
  <si>
    <t>Date:                Mon</t>
  </si>
  <si>
    <t xml:space="preserve"> 06 Oct 2025   Pseudo R-squ.:                0.001572</t>
  </si>
  <si>
    <t>Time:                        05:32:58   Log-Likelihood:                -5772.2</t>
  </si>
  <si>
    <t>converged:                      False   LL-Null:                       -5781.3</t>
  </si>
  <si>
    <t>Covariance Type:            nonrobust   LLR p-value:                   0.01994</t>
  </si>
  <si>
    <t>=============================================================================================================</t>
  </si>
  <si>
    <t xml:space="preserve">                                                coef    std err          z      P&gt;|z|      [0.025      0.975]</t>
  </si>
  <si>
    <t>-------------------------------------------------------------------------------------------------------------</t>
  </si>
  <si>
    <t>Intercept                                     1.0572      0.031     34.620      0.000       0.997       1.117</t>
  </si>
  <si>
    <t>EnvLightingCondition_Dark                    -0.1164      0.059     -1.980      0.048      -0.232      -0.001</t>
  </si>
  <si>
    <t>EnvLightingCondition_Dark__artificial        -0.0605      0.059     -1.032      0.302      -0.175       0.054</t>
  </si>
  <si>
    <t>EnvLightingCondition_Dawn                    -0.1633      0.281     -0.580      0.562      -0.715       0.388</t>
  </si>
  <si>
    <t>EnvLightingCondition_Dawn__artificial         0.3516      0.338      1.041      0.298      -0.310       1.014</t>
  </si>
  <si>
    <t>EnvLightingCondition_Daylight__artificial     0.3446      0.281      1.228      0.220      -0.206       0.895</t>
  </si>
  <si>
    <t>EnvLightingCondition_Dusk                     0.1163      0.211      0.551      0.582      -0.297       0.530</t>
  </si>
  <si>
    <t>EnvLightingCondition_Dusk__artificial         0.6524      0.251      2.597      0.009       0.160       1.145</t>
  </si>
  <si>
    <t>EnvLightingCondition_Other                   10.6357    244.657      0.043      0.965    -468.883     490.155</t>
  </si>
  <si>
    <t>=============================================================================================================Involvement</t>
  </si>
  <si>
    <t>PredProb_Severe</t>
  </si>
  <si>
    <t>EnvLightingCondition_Other</t>
  </si>
  <si>
    <t>EnvLightingCondition_Dusk__artificial</t>
  </si>
  <si>
    <t>EnvLightingCondition_Dawn__artificial</t>
  </si>
  <si>
    <t>EnvLightingCondition_Daylight__artificial</t>
  </si>
  <si>
    <t>EnvLightingCondition_Dusk</t>
  </si>
  <si>
    <t>EnvLightingCondition_Dark__artificial</t>
  </si>
  <si>
    <t>EnvLightingCondition_Dark</t>
  </si>
  <si>
    <t>EnvLightingCondition_Dawn</t>
  </si>
  <si>
    <t>OR</t>
  </si>
  <si>
    <t>pval</t>
  </si>
  <si>
    <t>EnvironmentLighting</t>
  </si>
  <si>
    <t>Intercept</t>
  </si>
  <si>
    <t>Consideration</t>
  </si>
  <si>
    <t>pval_new</t>
  </si>
  <si>
    <t>oddsRatio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</si>
</sst>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0" fontId="0" fillId="0" borderId="0" xfId="0" applyNumberFormat="1"/>
    <xf numFmtId="11" fontId="0" fillId="0" borderId="0" xfId="0" applyNumberFormat="1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10" fontId="19" fillId="0" borderId="11" xfId="0" applyNumberFormat="1" applyFont="1" applyBorder="1" applyAlignment="1">
      <alignment horizontal="center" vertical="center" wrapText="1"/>
    </xf>
    <xf numFmtId="164" fontId="19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/>
    <xf numFmtId="0" fontId="19" fillId="33" borderId="11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vertical="center" wrapText="1"/>
    </xf>
    <xf numFmtId="164" fontId="18" fillId="33" borderId="11" xfId="0" applyNumberFormat="1" applyFont="1" applyFill="1" applyBorder="1" applyAlignment="1">
      <alignment vertical="center" wrapText="1"/>
    </xf>
    <xf numFmtId="0" fontId="0" fillId="33" borderId="11" xfId="0" applyFill="1" applyBorder="1"/>
    <xf numFmtId="0" fontId="0" fillId="0" borderId="11" xfId="0" applyBorder="1"/>
    <xf numFmtId="164" fontId="0" fillId="0" borderId="11" xfId="0" applyNumberFormat="1" applyBorder="1"/>
    <xf numFmtId="0" fontId="19" fillId="34" borderId="11" xfId="0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vertical="center" wrapText="1"/>
    </xf>
    <xf numFmtId="164" fontId="18" fillId="34" borderId="11" xfId="0" applyNumberFormat="1" applyFont="1" applyFill="1" applyBorder="1" applyAlignment="1">
      <alignment vertical="center" wrapText="1"/>
    </xf>
    <xf numFmtId="0" fontId="0" fillId="34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32B3E-DFFD-4D61-A180-136C477D0EB5}">
  <dimension ref="A1:D40"/>
  <sheetViews>
    <sheetView tabSelected="1" topLeftCell="A13" workbookViewId="0">
      <selection sqref="A1:XFD1048576"/>
    </sheetView>
  </sheetViews>
  <sheetFormatPr defaultRowHeight="14.5" x14ac:dyDescent="0.35"/>
  <cols>
    <col min="1" max="1" width="122" bestFit="1" customWidth="1"/>
    <col min="2" max="2" width="38.08984375" bestFit="1" customWidth="1"/>
    <col min="3" max="4" width="11.81640625" bestFit="1" customWidth="1"/>
  </cols>
  <sheetData>
    <row r="1" spans="1:2" x14ac:dyDescent="0.35">
      <c r="A1" t="s">
        <v>0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  <c r="B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</row>
    <row r="16" spans="1:2" x14ac:dyDescent="0.35">
      <c r="A16" t="s">
        <v>16</v>
      </c>
    </row>
    <row r="17" spans="1:4" x14ac:dyDescent="0.35">
      <c r="A17" t="s">
        <v>17</v>
      </c>
    </row>
    <row r="18" spans="1:4" x14ac:dyDescent="0.35">
      <c r="A18" t="s">
        <v>18</v>
      </c>
    </row>
    <row r="19" spans="1:4" x14ac:dyDescent="0.35">
      <c r="A19" t="s">
        <v>19</v>
      </c>
    </row>
    <row r="20" spans="1:4" x14ac:dyDescent="0.35">
      <c r="A20" t="s">
        <v>20</v>
      </c>
    </row>
    <row r="21" spans="1:4" x14ac:dyDescent="0.35">
      <c r="A21" t="s">
        <v>21</v>
      </c>
    </row>
    <row r="22" spans="1:4" x14ac:dyDescent="0.35">
      <c r="A22" t="s">
        <v>22</v>
      </c>
      <c r="B22" t="s">
        <v>23</v>
      </c>
    </row>
    <row r="23" spans="1:4" x14ac:dyDescent="0.35">
      <c r="A23" t="s">
        <v>24</v>
      </c>
      <c r="B23">
        <v>0.99999164699999998</v>
      </c>
    </row>
    <row r="24" spans="1:4" x14ac:dyDescent="0.35">
      <c r="A24" t="s">
        <v>25</v>
      </c>
      <c r="B24">
        <v>0.84677419399999998</v>
      </c>
    </row>
    <row r="25" spans="1:4" x14ac:dyDescent="0.35">
      <c r="A25" t="s">
        <v>26</v>
      </c>
      <c r="B25">
        <v>0.803571429</v>
      </c>
    </row>
    <row r="26" spans="1:4" x14ac:dyDescent="0.35">
      <c r="A26" t="s">
        <v>27</v>
      </c>
      <c r="B26">
        <v>0.80246913600000003</v>
      </c>
    </row>
    <row r="27" spans="1:4" x14ac:dyDescent="0.35">
      <c r="A27" t="s">
        <v>28</v>
      </c>
      <c r="B27">
        <v>0.76377952800000004</v>
      </c>
    </row>
    <row r="28" spans="1:4" x14ac:dyDescent="0.35">
      <c r="A28" t="s">
        <v>29</v>
      </c>
      <c r="B28">
        <v>0.73040906900000002</v>
      </c>
    </row>
    <row r="29" spans="1:4" x14ac:dyDescent="0.35">
      <c r="A29" t="s">
        <v>30</v>
      </c>
      <c r="B29">
        <v>0.71924451300000003</v>
      </c>
    </row>
    <row r="30" spans="1:4" x14ac:dyDescent="0.35">
      <c r="A30" t="s">
        <v>31</v>
      </c>
      <c r="B30">
        <v>0.70967741900000003</v>
      </c>
    </row>
    <row r="31" spans="1:4" x14ac:dyDescent="0.35">
      <c r="A31" t="s">
        <v>32</v>
      </c>
      <c r="B31" s="1">
        <v>2.5000000000000001E-2</v>
      </c>
      <c r="C31" s="1">
        <v>0.97499999999999998</v>
      </c>
      <c r="D31" t="s">
        <v>33</v>
      </c>
    </row>
    <row r="32" spans="1:4" x14ac:dyDescent="0.35">
      <c r="A32">
        <v>41592.670030000001</v>
      </c>
      <c r="B32" s="2">
        <v>2.3300000000000001E-204</v>
      </c>
      <c r="C32" s="2">
        <v>7.4399999999999997E+212</v>
      </c>
      <c r="D32">
        <v>0.96532544099999995</v>
      </c>
    </row>
    <row r="33" spans="1:4" x14ac:dyDescent="0.35">
      <c r="A33">
        <v>2.8782006889999998</v>
      </c>
      <c r="B33">
        <v>2.710992224</v>
      </c>
      <c r="C33">
        <v>3.0557222309999998</v>
      </c>
      <c r="D33" s="2">
        <v>1.28E-262</v>
      </c>
    </row>
    <row r="34" spans="1:4" x14ac:dyDescent="0.35">
      <c r="A34">
        <v>1.9200592270000001</v>
      </c>
      <c r="B34">
        <v>1.17358834</v>
      </c>
      <c r="C34">
        <v>3.1413292959999999</v>
      </c>
      <c r="D34">
        <v>9.3976790000000008E-3</v>
      </c>
    </row>
    <row r="35" spans="1:4" x14ac:dyDescent="0.35">
      <c r="A35">
        <v>1.421342544</v>
      </c>
      <c r="B35">
        <v>0.733195229</v>
      </c>
      <c r="C35">
        <v>2.7553570280000002</v>
      </c>
      <c r="D35">
        <v>0.29784601799999999</v>
      </c>
    </row>
    <row r="36" spans="1:4" x14ac:dyDescent="0.35">
      <c r="A36">
        <v>1.4114721100000001</v>
      </c>
      <c r="B36">
        <v>0.81414679599999995</v>
      </c>
      <c r="C36">
        <v>2.4470445970000001</v>
      </c>
      <c r="D36">
        <v>0.21960775599999999</v>
      </c>
    </row>
    <row r="37" spans="1:4" x14ac:dyDescent="0.35">
      <c r="A37">
        <v>1.123387033</v>
      </c>
      <c r="B37">
        <v>0.74270577299999996</v>
      </c>
      <c r="C37">
        <v>1.699190274</v>
      </c>
      <c r="D37">
        <v>0.58157962100000005</v>
      </c>
    </row>
    <row r="38" spans="1:4" x14ac:dyDescent="0.35">
      <c r="A38">
        <v>0.941325458</v>
      </c>
      <c r="B38">
        <v>0.83916802400000001</v>
      </c>
      <c r="C38">
        <v>1.0559191880000001</v>
      </c>
      <c r="D38">
        <v>0.30224443299999998</v>
      </c>
    </row>
    <row r="39" spans="1:4" x14ac:dyDescent="0.35">
      <c r="A39">
        <v>0.89007628699999997</v>
      </c>
      <c r="B39">
        <v>0.79314983800000005</v>
      </c>
      <c r="C39">
        <v>0.99884757999999996</v>
      </c>
      <c r="D39">
        <v>4.7752326999999997E-2</v>
      </c>
    </row>
    <row r="40" spans="1:4" x14ac:dyDescent="0.35">
      <c r="A40">
        <v>0.84929603899999995</v>
      </c>
      <c r="B40">
        <v>0.48920016500000002</v>
      </c>
      <c r="C40">
        <v>1.47445527</v>
      </c>
      <c r="D40">
        <v>0.56166254800000004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79B2-7ECC-4931-A6B4-A2A0CC62BD36}">
  <dimension ref="A1:C9"/>
  <sheetViews>
    <sheetView workbookViewId="0">
      <selection activeCell="G7" sqref="G7"/>
    </sheetView>
  </sheetViews>
  <sheetFormatPr defaultRowHeight="14.5" x14ac:dyDescent="0.35"/>
  <cols>
    <col min="2" max="2" width="42.81640625" customWidth="1"/>
    <col min="3" max="3" width="29.7265625" customWidth="1"/>
  </cols>
  <sheetData>
    <row r="1" spans="1:3" x14ac:dyDescent="0.35">
      <c r="A1" s="3"/>
      <c r="B1" s="3" t="s">
        <v>34</v>
      </c>
      <c r="C1" s="3" t="s">
        <v>23</v>
      </c>
    </row>
    <row r="2" spans="1:3" x14ac:dyDescent="0.35">
      <c r="A2" s="3">
        <v>7</v>
      </c>
      <c r="B2" s="4" t="s">
        <v>24</v>
      </c>
      <c r="C2" s="4">
        <v>0.99999199999999999</v>
      </c>
    </row>
    <row r="3" spans="1:3" x14ac:dyDescent="0.35">
      <c r="A3" s="3">
        <v>6</v>
      </c>
      <c r="B3" s="4" t="s">
        <v>25</v>
      </c>
      <c r="C3" s="4">
        <v>0.84677400000000003</v>
      </c>
    </row>
    <row r="4" spans="1:3" x14ac:dyDescent="0.35">
      <c r="A4" s="3">
        <v>3</v>
      </c>
      <c r="B4" s="4" t="s">
        <v>26</v>
      </c>
      <c r="C4" s="4">
        <v>0.80357100000000004</v>
      </c>
    </row>
    <row r="5" spans="1:3" x14ac:dyDescent="0.35">
      <c r="A5" s="3">
        <v>4</v>
      </c>
      <c r="B5" s="4" t="s">
        <v>27</v>
      </c>
      <c r="C5" s="4">
        <v>0.80246899999999999</v>
      </c>
    </row>
    <row r="6" spans="1:3" x14ac:dyDescent="0.35">
      <c r="A6" s="3">
        <v>5</v>
      </c>
      <c r="B6" s="4" t="s">
        <v>28</v>
      </c>
      <c r="C6" s="4">
        <v>0.76378000000000001</v>
      </c>
    </row>
    <row r="7" spans="1:3" x14ac:dyDescent="0.35">
      <c r="A7" s="3">
        <v>1</v>
      </c>
      <c r="B7" s="4" t="s">
        <v>29</v>
      </c>
      <c r="C7" s="4">
        <v>0.73040899999999997</v>
      </c>
    </row>
    <row r="8" spans="1:3" x14ac:dyDescent="0.35">
      <c r="A8" s="3">
        <v>0</v>
      </c>
      <c r="B8" s="4" t="s">
        <v>30</v>
      </c>
      <c r="C8" s="4">
        <v>0.71924500000000002</v>
      </c>
    </row>
    <row r="9" spans="1:3" x14ac:dyDescent="0.35">
      <c r="A9" s="3">
        <v>2</v>
      </c>
      <c r="B9" s="4" t="s">
        <v>31</v>
      </c>
      <c r="C9" s="4">
        <v>0.709677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F2F3-B451-418D-B543-3C608B31A0AD}">
  <dimension ref="A1:H10"/>
  <sheetViews>
    <sheetView workbookViewId="0">
      <selection activeCell="H1" sqref="H1"/>
    </sheetView>
  </sheetViews>
  <sheetFormatPr defaultRowHeight="14.5" x14ac:dyDescent="0.35"/>
  <cols>
    <col min="1" max="1" width="32" style="13" bestFit="1" customWidth="1"/>
    <col min="2" max="2" width="21" style="13" customWidth="1"/>
    <col min="3" max="3" width="15.90625" style="13" customWidth="1"/>
    <col min="4" max="4" width="12.90625" style="13" customWidth="1"/>
    <col min="5" max="5" width="0.81640625" style="14" customWidth="1"/>
    <col min="6" max="6" width="16.90625" style="14" customWidth="1"/>
    <col min="7" max="7" width="15.08984375" style="13" customWidth="1"/>
    <col min="8" max="8" width="11.81640625" style="13" bestFit="1" customWidth="1"/>
    <col min="9" max="16384" width="8.7265625" style="13"/>
  </cols>
  <sheetData>
    <row r="1" spans="1:8" s="8" customFormat="1" x14ac:dyDescent="0.35">
      <c r="A1" s="5"/>
      <c r="B1" s="5" t="s">
        <v>32</v>
      </c>
      <c r="C1" s="6">
        <v>2.5000000000000001E-2</v>
      </c>
      <c r="D1" s="6">
        <v>0.97499999999999998</v>
      </c>
      <c r="E1" s="7" t="s">
        <v>33</v>
      </c>
      <c r="F1" s="7" t="s">
        <v>37</v>
      </c>
      <c r="G1" s="8" t="s">
        <v>36</v>
      </c>
      <c r="H1" s="8" t="s">
        <v>38</v>
      </c>
    </row>
    <row r="2" spans="1:8" s="12" customFormat="1" x14ac:dyDescent="0.35">
      <c r="A2" s="9" t="s">
        <v>24</v>
      </c>
      <c r="B2" s="10">
        <v>41592.670034000002</v>
      </c>
      <c r="C2" s="11">
        <v>2.3261480000000001E-204</v>
      </c>
      <c r="D2" s="11">
        <v>7.4369749999999996E+212</v>
      </c>
      <c r="E2" s="11">
        <v>0.9653254</v>
      </c>
      <c r="F2" s="11">
        <f>E2*1</f>
        <v>0.9653254</v>
      </c>
      <c r="G2" s="12" t="str">
        <f>IF(F2&lt;0.01, "Very Strong", IF(F2&lt;0.05, "Strong", IF(F2&lt;0.1,"Moderate","Little Evidence")))</f>
        <v>Little Evidence</v>
      </c>
      <c r="H2" s="12">
        <f>(B2-1)*100</f>
        <v>4159167.0034000003</v>
      </c>
    </row>
    <row r="3" spans="1:8" s="18" customFormat="1" x14ac:dyDescent="0.35">
      <c r="A3" s="15" t="s">
        <v>35</v>
      </c>
      <c r="B3" s="16">
        <v>2.8782009999999998</v>
      </c>
      <c r="C3" s="17">
        <v>2.7109920000000001</v>
      </c>
      <c r="D3" s="17">
        <v>3.0557219999999998</v>
      </c>
      <c r="E3" s="17">
        <v>1.2806570000000001E-262</v>
      </c>
      <c r="F3" s="17">
        <f t="shared" ref="F3:F10" si="0">E3*1</f>
        <v>1.2806570000000001E-262</v>
      </c>
      <c r="G3" s="18" t="str">
        <f t="shared" ref="G3:G10" si="1">IF(F3&lt;0.01, "Very Strong", IF(F3&lt;0.05, "Strong", IF(F3&lt;0.1,"Moderate","Little Evidence")))</f>
        <v>Very Strong</v>
      </c>
      <c r="H3" s="18">
        <f t="shared" ref="H3:H10" si="2">(B3-1)*100</f>
        <v>187.82009999999997</v>
      </c>
    </row>
    <row r="4" spans="1:8" s="18" customFormat="1" x14ac:dyDescent="0.35">
      <c r="A4" s="15" t="s">
        <v>25</v>
      </c>
      <c r="B4" s="16">
        <v>1.920059</v>
      </c>
      <c r="C4" s="17">
        <v>1.1735880000000001</v>
      </c>
      <c r="D4" s="17">
        <v>3.1413289999999998</v>
      </c>
      <c r="E4" s="17">
        <v>9.3976790000000008E-3</v>
      </c>
      <c r="F4" s="17">
        <f t="shared" si="0"/>
        <v>9.3976790000000008E-3</v>
      </c>
      <c r="G4" s="18" t="str">
        <f t="shared" si="1"/>
        <v>Very Strong</v>
      </c>
      <c r="H4" s="18">
        <f t="shared" si="2"/>
        <v>92.005899999999997</v>
      </c>
    </row>
    <row r="5" spans="1:8" s="12" customFormat="1" x14ac:dyDescent="0.35">
      <c r="A5" s="9" t="s">
        <v>26</v>
      </c>
      <c r="B5" s="10">
        <v>1.421343</v>
      </c>
      <c r="C5" s="11">
        <v>0.73319520000000005</v>
      </c>
      <c r="D5" s="11">
        <v>2.7553570000000001</v>
      </c>
      <c r="E5" s="11">
        <v>0.297846</v>
      </c>
      <c r="F5" s="11">
        <f t="shared" si="0"/>
        <v>0.297846</v>
      </c>
      <c r="G5" s="12" t="str">
        <f t="shared" si="1"/>
        <v>Little Evidence</v>
      </c>
      <c r="H5" s="12">
        <f t="shared" si="2"/>
        <v>42.134300000000003</v>
      </c>
    </row>
    <row r="6" spans="1:8" s="12" customFormat="1" x14ac:dyDescent="0.35">
      <c r="A6" s="9" t="s">
        <v>27</v>
      </c>
      <c r="B6" s="10">
        <v>1.4114720000000001</v>
      </c>
      <c r="C6" s="11">
        <v>0.81414679999999995</v>
      </c>
      <c r="D6" s="11">
        <v>2.4470450000000001</v>
      </c>
      <c r="E6" s="11">
        <v>0.21960779999999999</v>
      </c>
      <c r="F6" s="11">
        <f t="shared" si="0"/>
        <v>0.21960779999999999</v>
      </c>
      <c r="G6" s="12" t="str">
        <f t="shared" si="1"/>
        <v>Little Evidence</v>
      </c>
      <c r="H6" s="12">
        <f t="shared" si="2"/>
        <v>41.147200000000005</v>
      </c>
    </row>
    <row r="7" spans="1:8" s="12" customFormat="1" x14ac:dyDescent="0.35">
      <c r="A7" s="9" t="s">
        <v>28</v>
      </c>
      <c r="B7" s="10">
        <v>1.1233869999999999</v>
      </c>
      <c r="C7" s="11">
        <v>0.74270579999999997</v>
      </c>
      <c r="D7" s="11">
        <v>1.69919</v>
      </c>
      <c r="E7" s="11">
        <v>0.58157959999999997</v>
      </c>
      <c r="F7" s="11">
        <f t="shared" si="0"/>
        <v>0.58157959999999997</v>
      </c>
      <c r="G7" s="12" t="str">
        <f t="shared" si="1"/>
        <v>Little Evidence</v>
      </c>
      <c r="H7" s="12">
        <f t="shared" si="2"/>
        <v>12.338699999999992</v>
      </c>
    </row>
    <row r="8" spans="1:8" s="12" customFormat="1" x14ac:dyDescent="0.35">
      <c r="A8" s="9" t="s">
        <v>29</v>
      </c>
      <c r="B8" s="10">
        <v>0.94132499999999997</v>
      </c>
      <c r="C8" s="11">
        <v>0.83916800000000003</v>
      </c>
      <c r="D8" s="11">
        <v>1.0559190000000001</v>
      </c>
      <c r="E8" s="11">
        <v>0.30224440000000002</v>
      </c>
      <c r="F8" s="11">
        <f t="shared" si="0"/>
        <v>0.30224440000000002</v>
      </c>
      <c r="G8" s="12" t="str">
        <f t="shared" si="1"/>
        <v>Little Evidence</v>
      </c>
      <c r="H8" s="12">
        <f t="shared" si="2"/>
        <v>-5.8675000000000033</v>
      </c>
    </row>
    <row r="9" spans="1:8" s="18" customFormat="1" x14ac:dyDescent="0.35">
      <c r="A9" s="15" t="s">
        <v>30</v>
      </c>
      <c r="B9" s="16">
        <v>0.89007599999999998</v>
      </c>
      <c r="C9" s="17">
        <v>0.79314980000000002</v>
      </c>
      <c r="D9" s="17">
        <v>0.99884759999999995</v>
      </c>
      <c r="E9" s="17">
        <v>4.7752330000000003E-2</v>
      </c>
      <c r="F9" s="17">
        <f t="shared" si="0"/>
        <v>4.7752330000000003E-2</v>
      </c>
      <c r="G9" s="18" t="str">
        <f t="shared" si="1"/>
        <v>Strong</v>
      </c>
      <c r="H9" s="18">
        <f t="shared" si="2"/>
        <v>-10.992400000000002</v>
      </c>
    </row>
    <row r="10" spans="1:8" s="12" customFormat="1" x14ac:dyDescent="0.35">
      <c r="A10" s="9" t="s">
        <v>31</v>
      </c>
      <c r="B10" s="10">
        <v>0.84929600000000005</v>
      </c>
      <c r="C10" s="11">
        <v>0.48920019999999997</v>
      </c>
      <c r="D10" s="11">
        <v>1.4744550000000001</v>
      </c>
      <c r="E10" s="11">
        <v>0.56166249999999995</v>
      </c>
      <c r="F10" s="11">
        <f t="shared" si="0"/>
        <v>0.56166249999999995</v>
      </c>
      <c r="G10" s="12" t="str">
        <f t="shared" si="1"/>
        <v>Little Evidence</v>
      </c>
      <c r="H10" s="12">
        <f t="shared" si="2"/>
        <v>-15.070399999999996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EnvModelA_LightAnalysis</vt:lpstr>
      <vt:lpstr>PredProb</vt:lpstr>
      <vt:lpstr>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Afeena Gafoor</cp:lastModifiedBy>
  <dcterms:created xsi:type="dcterms:W3CDTF">2025-10-06T10:46:14Z</dcterms:created>
  <dcterms:modified xsi:type="dcterms:W3CDTF">2025-10-15T10:43:34Z</dcterms:modified>
</cp:coreProperties>
</file>