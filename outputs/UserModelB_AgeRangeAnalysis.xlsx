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een\Documents\MBAI\Business Analytics\FlaskProjects\Master Code (BA)\04Regression\User\"/>
    </mc:Choice>
  </mc:AlternateContent>
  <xr:revisionPtr revIDLastSave="0" documentId="13_ncr:1_{9BAD2241-258C-4D65-952A-3CA15CEFA2F9}" xr6:coauthVersionLast="47" xr6:coauthVersionMax="47" xr10:uidLastSave="{00000000-0000-0000-0000-000000000000}"/>
  <bookViews>
    <workbookView xWindow="-110" yWindow="-110" windowWidth="19420" windowHeight="10300" activeTab="2" xr2:uid="{36BAC526-7499-471D-B337-03D55A98A0FD}"/>
  </bookViews>
  <sheets>
    <sheet name="ModelB_Summary" sheetId="1" r:id="rId1"/>
    <sheet name="ModelB_PredProb" sheetId="2" r:id="rId2"/>
    <sheet name="ModelB_OddsRat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" l="1"/>
  <c r="G7" i="3"/>
  <c r="G8" i="3"/>
  <c r="G9" i="3"/>
  <c r="G10" i="3"/>
  <c r="G11" i="3"/>
  <c r="G12" i="3"/>
  <c r="G13" i="3"/>
  <c r="G14" i="3"/>
  <c r="G18" i="3"/>
  <c r="G19" i="3"/>
  <c r="G20" i="3"/>
  <c r="G21" i="3"/>
  <c r="G22" i="3"/>
  <c r="G2" i="3"/>
  <c r="F3" i="3"/>
  <c r="G3" i="3" s="1"/>
  <c r="F4" i="3"/>
  <c r="G4" i="3" s="1"/>
  <c r="F5" i="3"/>
  <c r="G5" i="3" s="1"/>
  <c r="F6" i="3"/>
  <c r="F7" i="3"/>
  <c r="F8" i="3"/>
  <c r="F9" i="3"/>
  <c r="F10" i="3"/>
  <c r="F11" i="3"/>
  <c r="F12" i="3"/>
  <c r="F13" i="3"/>
  <c r="F14" i="3"/>
  <c r="F15" i="3"/>
  <c r="G15" i="3" s="1"/>
  <c r="F16" i="3"/>
  <c r="G16" i="3" s="1"/>
  <c r="F17" i="3"/>
  <c r="G17" i="3" s="1"/>
  <c r="F18" i="3"/>
  <c r="F19" i="3"/>
  <c r="F20" i="3"/>
  <c r="F21" i="3"/>
  <c r="F22" i="3"/>
  <c r="F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" i="3"/>
</calcChain>
</file>

<file path=xl/sharedStrings.xml><?xml version="1.0" encoding="utf-8"?>
<sst xmlns="http://schemas.openxmlformats.org/spreadsheetml/2006/main" count="87" uniqueCount="66">
  <si>
    <t xml:space="preserve"> Model B: User Age Ranges vs Severe Injuries </t>
  </si>
  <si>
    <t xml:space="preserve">                           Logit Regression Results                           </t>
  </si>
  <si>
    <t>==============================================================================</t>
  </si>
  <si>
    <t>Dep. Variable:           SevereInjury   No. Observations:                10044</t>
  </si>
  <si>
    <t>Model:                          Logit   Df Residuals:                    10023</t>
  </si>
  <si>
    <t>Method:                           MLE   Df Model:                           20</t>
  </si>
  <si>
    <t>Date:                Sun, 05 Oct 2025   Pseudo R-squ.:                 0.02015</t>
  </si>
  <si>
    <t>Time:                        14:05:40   Log-Likelihood:                -5664.8</t>
  </si>
  <si>
    <t>converged:                      False   LL-Null:                       -5781.3</t>
  </si>
  <si>
    <t>Covariance Type:            nonrobust   LLR p-value:                 2.994e-38</t>
  </si>
  <si>
    <t>=========================================================================================</t>
  </si>
  <si>
    <t xml:space="preserve">                            coef    std err          z      P&gt;|z|      [0.025      0.975]</t>
  </si>
  <si>
    <t>-----------------------------------------------------------------------------------------</t>
  </si>
  <si>
    <t>Intercept                 0.7955      0.063     12.563      0.000       0.671       0.920</t>
  </si>
  <si>
    <t>UserAgeRange_0_to_4      -0.8890      0.204     -4.365      0.000      -1.288      -0.490</t>
  </si>
  <si>
    <t>UserAgeRange_10_to_14     0.2413      0.176      1.368      0.171      -0.104       0.587</t>
  </si>
  <si>
    <t>UserAgeRange_15_to_19    -0.1589      0.105     -1.514      0.130      -0.365       0.047</t>
  </si>
  <si>
    <t>UserAgeRange_25_to_29     0.2701      0.095      2.841      0.005       0.084       0.457</t>
  </si>
  <si>
    <t>UserAgeRange_30_to_34     0.1843      0.100      1.849      0.065      -0.011       0.380</t>
  </si>
  <si>
    <t>UserAgeRange_35_to_39     0.1533      0.102      1.505      0.132      -0.046       0.353</t>
  </si>
  <si>
    <t>UserAgeRange_40_to_44     0.2011      0.106      1.896      0.058      -0.007       0.409</t>
  </si>
  <si>
    <t>UserAgeRange_45_to_49     0.1770      0.105      1.679      0.093      -0.030       0.384</t>
  </si>
  <si>
    <t>UserAgeRange_5_to_9      -0.4350      0.190     -2.292      0.022      -0.807      -0.063</t>
  </si>
  <si>
    <t>UserAgeRange_50_to_54     0.2763      0.105      2.621      0.009       0.070       0.483</t>
  </si>
  <si>
    <t>UserAgeRange_55_to_59     0.3255      0.110      2.948      0.003       0.109       0.542</t>
  </si>
  <si>
    <t>UserAgeRange_60_to_64     0.5178      0.125      4.153      0.000       0.273       0.762</t>
  </si>
  <si>
    <t>UserAgeRange_65_to_69     0.5771      0.133      4.346      0.000       0.317       0.837</t>
  </si>
  <si>
    <t>UserAgeRange_70_to_74     0.7008      0.146      4.807      0.000       0.415       0.986</t>
  </si>
  <si>
    <t>UserAgeRange_75_to_79     0.7824      0.158      4.968      0.000       0.474       1.091</t>
  </si>
  <si>
    <t>UserAgeRange_80_to_84     1.0142      0.188      5.386      0.000       0.645       1.383</t>
  </si>
  <si>
    <t>UserAgeRange_85_to_89     1.4076      0.250      5.632      0.000       0.918       1.897</t>
  </si>
  <si>
    <t>UserAgeRange_90_to_94     2.4626      0.723      3.404      0.001       1.045       3.880</t>
  </si>
  <si>
    <t>UserAgeRange_Over_95      5.2821      6.976      0.757      0.449      -8.391      18.955</t>
  </si>
  <si>
    <t>UserAgeRange_unknown     -0.6338      0.191     -3.319      0.001      -1.008      -0.259</t>
  </si>
  <si>
    <t>=== Predicted probability of severe injury by age range ===</t>
  </si>
  <si>
    <t>c:\Users\afeen\AppData\Local\Programs\Python\Python313\Lib\site-packages\statsmodels\base\model.py:607: ConvergenceWarning: Maximum Likelihood optimization failed to converge. Check mle_retvals</t>
  </si>
  <si>
    <t xml:space="preserve">  warnings.warn("Maximum Likelihood optimization failed to "</t>
  </si>
  <si>
    <t>AgeRange</t>
  </si>
  <si>
    <t>PredProb_Severe</t>
  </si>
  <si>
    <t>UserAgeRange_Over_95</t>
  </si>
  <si>
    <t>UserAgeRange_90_to_94</t>
  </si>
  <si>
    <t>UserAgeRange_85_to_89</t>
  </si>
  <si>
    <t>UserAgeRange_80_to_84</t>
  </si>
  <si>
    <t>UserAgeRange_75_to_79</t>
  </si>
  <si>
    <t>UserAgeRange_70_to_74</t>
  </si>
  <si>
    <t>UserAgeRange_65_to_69</t>
  </si>
  <si>
    <t>UserAgeRange_60_to_64</t>
  </si>
  <si>
    <t>UserAgeRange_55_to_59</t>
  </si>
  <si>
    <t>UserAgeRange_50_to_54</t>
  </si>
  <si>
    <t>UserAgeRange_25_to_29</t>
  </si>
  <si>
    <t>UserAgeRange_10_to_14</t>
  </si>
  <si>
    <t>UserAgeRange_40_to_44</t>
  </si>
  <si>
    <t>UserAgeRange_30_to_34</t>
  </si>
  <si>
    <t>UserAgeRange_45_to_49</t>
  </si>
  <si>
    <t>UserAgeRange_35_to_39</t>
  </si>
  <si>
    <t>UserAgeRange_15_to_19</t>
  </si>
  <si>
    <t>UserAgeRange_5_to_9</t>
  </si>
  <si>
    <t>UserAgeRange_unknown</t>
  </si>
  <si>
    <t>UserAgeRange_0_to_4</t>
  </si>
  <si>
    <t>OR</t>
  </si>
  <si>
    <t>Intercept</t>
  </si>
  <si>
    <t>OR-1*100</t>
  </si>
  <si>
    <t>Chance in %</t>
  </si>
  <si>
    <t>pval_old</t>
  </si>
  <si>
    <t>pval_new</t>
  </si>
  <si>
    <t>Considerations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</si>
</sst>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00E+00"/>
    <numFmt numFmtId="166" formatCode="0.000000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66" fontId="2" fillId="3" borderId="2" xfId="0" applyNumberFormat="1" applyFont="1" applyFill="1" applyBorder="1" applyAlignment="1">
      <alignment horizontal="center" vertical="center" wrapText="1"/>
    </xf>
    <xf numFmtId="0" fontId="0" fillId="3" borderId="3" xfId="0" applyFill="1" applyBorder="1"/>
    <xf numFmtId="0" fontId="2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vertical="center" wrapText="1"/>
    </xf>
    <xf numFmtId="166" fontId="1" fillId="3" borderId="5" xfId="0" applyNumberFormat="1" applyFont="1" applyFill="1" applyBorder="1" applyAlignment="1">
      <alignment vertical="center" wrapText="1"/>
    </xf>
    <xf numFmtId="0" fontId="0" fillId="3" borderId="5" xfId="0" applyFill="1" applyBorder="1"/>
    <xf numFmtId="0" fontId="0" fillId="3" borderId="6" xfId="0" applyFill="1" applyBorder="1"/>
    <xf numFmtId="166" fontId="0" fillId="3" borderId="5" xfId="0" applyNumberFormat="1" applyFill="1" applyBorder="1"/>
    <xf numFmtId="0" fontId="6" fillId="3" borderId="3" xfId="0" applyFont="1" applyFill="1" applyBorder="1"/>
    <xf numFmtId="0" fontId="2" fillId="3" borderId="5" xfId="0" applyFont="1" applyFill="1" applyBorder="1" applyAlignment="1">
      <alignment horizontal="center" vertical="center" wrapText="1"/>
    </xf>
    <xf numFmtId="10" fontId="2" fillId="3" borderId="5" xfId="0" applyNumberFormat="1" applyFont="1" applyFill="1" applyBorder="1" applyAlignment="1">
      <alignment horizontal="center" vertical="center" wrapText="1"/>
    </xf>
    <xf numFmtId="10" fontId="6" fillId="0" borderId="5" xfId="0" applyNumberFormat="1" applyFont="1" applyBorder="1"/>
    <xf numFmtId="164" fontId="2" fillId="3" borderId="5" xfId="0" applyNumberFormat="1" applyFont="1" applyFill="1" applyBorder="1" applyAlignment="1">
      <alignment horizontal="center" vertical="center" wrapText="1"/>
    </xf>
    <xf numFmtId="0" fontId="6" fillId="3" borderId="5" xfId="0" applyFont="1" applyFill="1" applyBorder="1"/>
    <xf numFmtId="0" fontId="2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0" fontId="0" fillId="4" borderId="5" xfId="0" applyFill="1" applyBorder="1"/>
    <xf numFmtId="164" fontId="1" fillId="4" borderId="5" xfId="0" applyNumberFormat="1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0" fillId="2" borderId="5" xfId="0" applyFill="1" applyBorder="1"/>
    <xf numFmtId="164" fontId="1" fillId="2" borderId="5" xfId="0" applyNumberFormat="1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164" fontId="4" fillId="2" borderId="5" xfId="0" applyNumberFormat="1" applyFont="1" applyFill="1" applyBorder="1" applyAlignment="1">
      <alignment vertical="center" wrapText="1"/>
    </xf>
    <xf numFmtId="0" fontId="5" fillId="2" borderId="5" xfId="0" applyFont="1" applyFill="1" applyBorder="1"/>
    <xf numFmtId="165" fontId="0" fillId="3" borderId="5" xfId="0" applyNumberFormat="1" applyFill="1" applyBorder="1"/>
    <xf numFmtId="164" fontId="0" fillId="3" borderId="5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2340-5E80-4745-92D1-97003336D040}">
  <dimension ref="A2:A41"/>
  <sheetViews>
    <sheetView topLeftCell="A10" workbookViewId="0">
      <selection activeCell="A4" sqref="A4"/>
    </sheetView>
  </sheetViews>
  <sheetFormatPr defaultRowHeight="14.5" x14ac:dyDescent="0.35"/>
  <cols>
    <col min="1" max="1" width="170.6328125" bestFit="1" customWidth="1"/>
  </cols>
  <sheetData>
    <row r="2" spans="1:1" x14ac:dyDescent="0.35">
      <c r="A2" t="s">
        <v>0</v>
      </c>
    </row>
    <row r="4" spans="1:1" x14ac:dyDescent="0.35">
      <c r="A4" t="s">
        <v>1</v>
      </c>
    </row>
    <row r="5" spans="1:1" x14ac:dyDescent="0.35">
      <c r="A5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10</v>
      </c>
    </row>
    <row r="39" spans="1:1" x14ac:dyDescent="0.35">
      <c r="A39" t="s">
        <v>34</v>
      </c>
    </row>
    <row r="40" spans="1:1" x14ac:dyDescent="0.35">
      <c r="A40" t="s">
        <v>35</v>
      </c>
    </row>
    <row r="41" spans="1:1" x14ac:dyDescent="0.35">
      <c r="A4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82089-5D68-4171-9FC9-F3EA03606C46}">
  <dimension ref="A1:D21"/>
  <sheetViews>
    <sheetView workbookViewId="0">
      <selection activeCell="D1" sqref="D1"/>
    </sheetView>
  </sheetViews>
  <sheetFormatPr defaultRowHeight="17" customHeight="1" x14ac:dyDescent="0.35"/>
  <cols>
    <col min="1" max="1" width="8.7265625" style="9"/>
    <col min="2" max="2" width="28" style="8" customWidth="1"/>
    <col min="3" max="3" width="32.54296875" style="10" customWidth="1"/>
    <col min="4" max="4" width="23.81640625" style="8" customWidth="1"/>
    <col min="5" max="16384" width="8.7265625" style="8"/>
  </cols>
  <sheetData>
    <row r="1" spans="1:4" s="4" customFormat="1" ht="17" customHeight="1" x14ac:dyDescent="0.35">
      <c r="A1" s="1"/>
      <c r="B1" s="2" t="s">
        <v>37</v>
      </c>
      <c r="C1" s="3" t="s">
        <v>38</v>
      </c>
      <c r="D1" s="11" t="s">
        <v>62</v>
      </c>
    </row>
    <row r="2" spans="1:4" ht="17" customHeight="1" x14ac:dyDescent="0.35">
      <c r="A2" s="5">
        <v>18</v>
      </c>
      <c r="B2" s="6" t="s">
        <v>39</v>
      </c>
      <c r="C2" s="7">
        <v>0.99771100000000001</v>
      </c>
      <c r="D2" s="8">
        <f>C2*100</f>
        <v>99.771100000000004</v>
      </c>
    </row>
    <row r="3" spans="1:4" ht="17" customHeight="1" x14ac:dyDescent="0.35">
      <c r="A3" s="5">
        <v>17</v>
      </c>
      <c r="B3" s="6" t="s">
        <v>40</v>
      </c>
      <c r="C3" s="7">
        <v>0.96296300000000001</v>
      </c>
      <c r="D3" s="8">
        <f t="shared" ref="D3:D21" si="0">C3*100</f>
        <v>96.296300000000002</v>
      </c>
    </row>
    <row r="4" spans="1:4" ht="17" customHeight="1" x14ac:dyDescent="0.35">
      <c r="A4" s="5">
        <v>16</v>
      </c>
      <c r="B4" s="6" t="s">
        <v>41</v>
      </c>
      <c r="C4" s="7">
        <v>0.90052399999999999</v>
      </c>
      <c r="D4" s="8">
        <f t="shared" si="0"/>
        <v>90.052400000000006</v>
      </c>
    </row>
    <row r="5" spans="1:4" ht="17" customHeight="1" x14ac:dyDescent="0.35">
      <c r="A5" s="5">
        <v>15</v>
      </c>
      <c r="B5" s="6" t="s">
        <v>42</v>
      </c>
      <c r="C5" s="7">
        <v>0.85931599999999997</v>
      </c>
      <c r="D5" s="8">
        <f t="shared" si="0"/>
        <v>85.931600000000003</v>
      </c>
    </row>
    <row r="6" spans="1:4" ht="17" customHeight="1" x14ac:dyDescent="0.35">
      <c r="A6" s="5">
        <v>14</v>
      </c>
      <c r="B6" s="6" t="s">
        <v>43</v>
      </c>
      <c r="C6" s="7">
        <v>0.82890900000000001</v>
      </c>
      <c r="D6" s="8">
        <f t="shared" si="0"/>
        <v>82.890900000000002</v>
      </c>
    </row>
    <row r="7" spans="1:4" ht="17" customHeight="1" x14ac:dyDescent="0.35">
      <c r="A7" s="5">
        <v>13</v>
      </c>
      <c r="B7" s="6" t="s">
        <v>44</v>
      </c>
      <c r="C7" s="7">
        <v>0.81701000000000001</v>
      </c>
      <c r="D7" s="8">
        <f t="shared" si="0"/>
        <v>81.701000000000008</v>
      </c>
    </row>
    <row r="8" spans="1:4" ht="17" customHeight="1" x14ac:dyDescent="0.35">
      <c r="A8" s="5">
        <v>12</v>
      </c>
      <c r="B8" s="6" t="s">
        <v>45</v>
      </c>
      <c r="C8" s="7">
        <v>0.79780200000000001</v>
      </c>
      <c r="D8" s="8">
        <f t="shared" si="0"/>
        <v>79.780200000000008</v>
      </c>
    </row>
    <row r="9" spans="1:4" ht="17" customHeight="1" x14ac:dyDescent="0.35">
      <c r="A9" s="5">
        <v>11</v>
      </c>
      <c r="B9" s="6" t="s">
        <v>46</v>
      </c>
      <c r="C9" s="7">
        <v>0.78805400000000003</v>
      </c>
      <c r="D9" s="8">
        <f t="shared" si="0"/>
        <v>78.805400000000006</v>
      </c>
    </row>
    <row r="10" spans="1:4" ht="17" customHeight="1" x14ac:dyDescent="0.35">
      <c r="A10" s="5">
        <v>10</v>
      </c>
      <c r="B10" s="6" t="s">
        <v>47</v>
      </c>
      <c r="C10" s="7">
        <v>0.75417299999999998</v>
      </c>
      <c r="D10" s="8">
        <f t="shared" si="0"/>
        <v>75.417299999999997</v>
      </c>
    </row>
    <row r="11" spans="1:4" ht="17" customHeight="1" x14ac:dyDescent="0.35">
      <c r="A11" s="5">
        <v>9</v>
      </c>
      <c r="B11" s="6" t="s">
        <v>48</v>
      </c>
      <c r="C11" s="7">
        <v>0.74493900000000002</v>
      </c>
      <c r="D11" s="8">
        <f t="shared" si="0"/>
        <v>74.493899999999996</v>
      </c>
    </row>
    <row r="12" spans="1:4" ht="17" customHeight="1" x14ac:dyDescent="0.35">
      <c r="A12" s="5">
        <v>3</v>
      </c>
      <c r="B12" s="6" t="s">
        <v>49</v>
      </c>
      <c r="C12" s="7">
        <v>0.74376200000000003</v>
      </c>
      <c r="D12" s="8">
        <f t="shared" si="0"/>
        <v>74.376199999999997</v>
      </c>
    </row>
    <row r="13" spans="1:4" ht="17" customHeight="1" x14ac:dyDescent="0.35">
      <c r="A13" s="5">
        <v>1</v>
      </c>
      <c r="B13" s="6" t="s">
        <v>50</v>
      </c>
      <c r="C13" s="7">
        <v>0.73821999999999999</v>
      </c>
      <c r="D13" s="8">
        <f t="shared" si="0"/>
        <v>73.822000000000003</v>
      </c>
    </row>
    <row r="14" spans="1:4" ht="17" customHeight="1" x14ac:dyDescent="0.35">
      <c r="A14" s="5">
        <v>6</v>
      </c>
      <c r="B14" s="6" t="s">
        <v>51</v>
      </c>
      <c r="C14" s="7">
        <v>0.73038499999999995</v>
      </c>
      <c r="D14" s="8">
        <f t="shared" si="0"/>
        <v>73.038499999999999</v>
      </c>
    </row>
    <row r="15" spans="1:4" ht="17" customHeight="1" x14ac:dyDescent="0.35">
      <c r="A15" s="5">
        <v>4</v>
      </c>
      <c r="B15" s="6" t="s">
        <v>52</v>
      </c>
      <c r="C15" s="7">
        <v>0.72705900000000001</v>
      </c>
      <c r="D15" s="8">
        <f t="shared" si="0"/>
        <v>72.7059</v>
      </c>
    </row>
    <row r="16" spans="1:4" ht="17" customHeight="1" x14ac:dyDescent="0.35">
      <c r="A16" s="5">
        <v>7</v>
      </c>
      <c r="B16" s="6" t="s">
        <v>53</v>
      </c>
      <c r="C16" s="7">
        <v>0.72560100000000005</v>
      </c>
      <c r="D16" s="8">
        <f t="shared" si="0"/>
        <v>72.560100000000006</v>
      </c>
    </row>
    <row r="17" spans="1:4" ht="17" customHeight="1" x14ac:dyDescent="0.35">
      <c r="A17" s="5">
        <v>5</v>
      </c>
      <c r="B17" s="6" t="s">
        <v>54</v>
      </c>
      <c r="C17" s="7">
        <v>0.72087100000000004</v>
      </c>
      <c r="D17" s="8">
        <f t="shared" si="0"/>
        <v>72.087100000000007</v>
      </c>
    </row>
    <row r="18" spans="1:4" ht="17" customHeight="1" x14ac:dyDescent="0.35">
      <c r="A18" s="5">
        <v>2</v>
      </c>
      <c r="B18" s="6" t="s">
        <v>55</v>
      </c>
      <c r="C18" s="7">
        <v>0.65396799999999999</v>
      </c>
      <c r="D18" s="8">
        <f t="shared" si="0"/>
        <v>65.396799999999999</v>
      </c>
    </row>
    <row r="19" spans="1:4" ht="17" customHeight="1" x14ac:dyDescent="0.35">
      <c r="A19" s="5">
        <v>8</v>
      </c>
      <c r="B19" s="6" t="s">
        <v>56</v>
      </c>
      <c r="C19" s="7">
        <v>0.58914699999999998</v>
      </c>
      <c r="D19" s="8">
        <f t="shared" si="0"/>
        <v>58.914699999999996</v>
      </c>
    </row>
    <row r="20" spans="1:4" ht="17" customHeight="1" x14ac:dyDescent="0.35">
      <c r="A20" s="5">
        <v>19</v>
      </c>
      <c r="B20" s="6" t="s">
        <v>57</v>
      </c>
      <c r="C20" s="7">
        <v>0.540323</v>
      </c>
      <c r="D20" s="8">
        <f t="shared" si="0"/>
        <v>54.032299999999999</v>
      </c>
    </row>
    <row r="21" spans="1:4" ht="17" customHeight="1" x14ac:dyDescent="0.35">
      <c r="A21" s="5">
        <v>0</v>
      </c>
      <c r="B21" s="6" t="s">
        <v>58</v>
      </c>
      <c r="C21" s="7">
        <v>0.476636</v>
      </c>
      <c r="D21" s="8">
        <f t="shared" si="0"/>
        <v>47.663600000000002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441E2-51F7-4426-BE82-2238147E4B2A}">
  <dimension ref="A1:H22"/>
  <sheetViews>
    <sheetView tabSelected="1" workbookViewId="0">
      <selection activeCell="F9" sqref="F9"/>
    </sheetView>
  </sheetViews>
  <sheetFormatPr defaultColWidth="24.453125" defaultRowHeight="14.5" x14ac:dyDescent="0.35"/>
  <cols>
    <col min="1" max="3" width="24.453125" style="8"/>
    <col min="4" max="4" width="24.453125" style="29"/>
    <col min="5" max="5" width="0" style="30" hidden="1" customWidth="1"/>
    <col min="6" max="6" width="24.453125" style="30"/>
    <col min="7" max="7" width="16.6328125" style="8" customWidth="1"/>
    <col min="8" max="16384" width="24.453125" style="8"/>
  </cols>
  <sheetData>
    <row r="1" spans="1:8" s="16" customFormat="1" x14ac:dyDescent="0.35">
      <c r="A1" s="12"/>
      <c r="B1" s="12" t="s">
        <v>59</v>
      </c>
      <c r="C1" s="13">
        <v>2.5000000000000001E-2</v>
      </c>
      <c r="D1" s="14">
        <v>0.97499999999999998</v>
      </c>
      <c r="E1" s="15" t="s">
        <v>63</v>
      </c>
      <c r="F1" s="15" t="s">
        <v>64</v>
      </c>
      <c r="G1" s="16" t="s">
        <v>65</v>
      </c>
      <c r="H1" s="16" t="s">
        <v>61</v>
      </c>
    </row>
    <row r="2" spans="1:8" s="19" customFormat="1" x14ac:dyDescent="0.35">
      <c r="A2" s="17" t="s">
        <v>39</v>
      </c>
      <c r="B2" s="18">
        <v>196.77711199999999</v>
      </c>
      <c r="C2" s="18">
        <v>2.2699999999999999E-4</v>
      </c>
      <c r="D2" s="19">
        <v>170620260.22834799</v>
      </c>
      <c r="E2" s="20">
        <v>0.44894909999999999</v>
      </c>
      <c r="F2" s="20">
        <f>E2*1</f>
        <v>0.44894909999999999</v>
      </c>
      <c r="G2" s="19" t="str">
        <f>IF(F2&lt;0.01, "Very Strong", IF(F2&lt;0.05, "Strong", IF(F2&lt;0.1,"Moderate","Little Evidence")))</f>
        <v>Little Evidence</v>
      </c>
      <c r="H2" s="19">
        <f>(B2-1)*100</f>
        <v>19577.711199999998</v>
      </c>
    </row>
    <row r="3" spans="1:8" s="23" customFormat="1" x14ac:dyDescent="0.35">
      <c r="A3" s="21" t="s">
        <v>40</v>
      </c>
      <c r="B3" s="22">
        <v>11.735659999999999</v>
      </c>
      <c r="C3" s="22">
        <v>2.843073</v>
      </c>
      <c r="D3" s="23">
        <v>48.442553634096598</v>
      </c>
      <c r="E3" s="24">
        <v>6.6293489999999999E-4</v>
      </c>
      <c r="F3" s="24">
        <f t="shared" ref="F3:F22" si="0">E3*1</f>
        <v>6.6293489999999999E-4</v>
      </c>
      <c r="G3" s="23" t="str">
        <f t="shared" ref="G3:G22" si="1">IF(F3&lt;0.01, "Very Strong", IF(F3&lt;0.05, "Strong", IF(F3&lt;0.1,"Moderate","Little Evidence")))</f>
        <v>Very Strong</v>
      </c>
      <c r="H3" s="23">
        <f t="shared" ref="H3:H22" si="2">(B3-1)*100</f>
        <v>1073.566</v>
      </c>
    </row>
    <row r="4" spans="1:8" s="23" customFormat="1" x14ac:dyDescent="0.35">
      <c r="A4" s="21" t="s">
        <v>41</v>
      </c>
      <c r="B4" s="22">
        <v>4.0861000000000001</v>
      </c>
      <c r="C4" s="22">
        <v>2.5037189999999998</v>
      </c>
      <c r="D4" s="23">
        <v>6.6685672106675904</v>
      </c>
      <c r="E4" s="24">
        <v>1.7771969999999999E-8</v>
      </c>
      <c r="F4" s="24">
        <f t="shared" si="0"/>
        <v>1.7771969999999999E-8</v>
      </c>
      <c r="G4" s="23" t="str">
        <f t="shared" si="1"/>
        <v>Very Strong</v>
      </c>
      <c r="H4" s="23">
        <f t="shared" si="2"/>
        <v>308.61</v>
      </c>
    </row>
    <row r="5" spans="1:8" s="23" customFormat="1" x14ac:dyDescent="0.35">
      <c r="A5" s="21" t="s">
        <v>42</v>
      </c>
      <c r="B5" s="22">
        <v>2.7570260000000002</v>
      </c>
      <c r="C5" s="22">
        <v>1.9061189999999999</v>
      </c>
      <c r="D5" s="23">
        <v>3.9877847656074201</v>
      </c>
      <c r="E5" s="24">
        <v>7.2238159999999999E-8</v>
      </c>
      <c r="F5" s="24">
        <f t="shared" si="0"/>
        <v>7.2238159999999999E-8</v>
      </c>
      <c r="G5" s="23" t="str">
        <f t="shared" si="1"/>
        <v>Very Strong</v>
      </c>
      <c r="H5" s="23">
        <f t="shared" si="2"/>
        <v>175.70260000000002</v>
      </c>
    </row>
    <row r="6" spans="1:8" s="23" customFormat="1" x14ac:dyDescent="0.35">
      <c r="A6" s="21" t="s">
        <v>60</v>
      </c>
      <c r="B6" s="22">
        <v>2.2154699999999998</v>
      </c>
      <c r="C6" s="22">
        <v>1.9568989999999999</v>
      </c>
      <c r="D6" s="23">
        <v>2.5082057955280899</v>
      </c>
      <c r="E6" s="24">
        <v>3.3823740000000001E-36</v>
      </c>
      <c r="F6" s="24">
        <f t="shared" si="0"/>
        <v>3.3823740000000001E-36</v>
      </c>
      <c r="G6" s="23" t="str">
        <f t="shared" si="1"/>
        <v>Very Strong</v>
      </c>
      <c r="H6" s="23">
        <f t="shared" si="2"/>
        <v>121.54699999999998</v>
      </c>
    </row>
    <row r="7" spans="1:8" s="23" customFormat="1" x14ac:dyDescent="0.35">
      <c r="A7" s="21" t="s">
        <v>43</v>
      </c>
      <c r="B7" s="22">
        <v>2.186817</v>
      </c>
      <c r="C7" s="22">
        <v>1.6059779999999999</v>
      </c>
      <c r="D7" s="23">
        <v>2.9777298753000601</v>
      </c>
      <c r="E7" s="24">
        <v>6.7785810000000005E-7</v>
      </c>
      <c r="F7" s="24">
        <f t="shared" si="0"/>
        <v>6.7785810000000005E-7</v>
      </c>
      <c r="G7" s="23" t="str">
        <f t="shared" si="1"/>
        <v>Very Strong</v>
      </c>
      <c r="H7" s="23">
        <f t="shared" si="2"/>
        <v>118.68170000000001</v>
      </c>
    </row>
    <row r="8" spans="1:8" s="23" customFormat="1" x14ac:dyDescent="0.35">
      <c r="A8" s="21" t="s">
        <v>44</v>
      </c>
      <c r="B8" s="22">
        <v>2.015279</v>
      </c>
      <c r="C8" s="22">
        <v>1.5144569999999999</v>
      </c>
      <c r="D8" s="23">
        <v>2.68171915050192</v>
      </c>
      <c r="E8" s="24">
        <v>1.529532E-6</v>
      </c>
      <c r="F8" s="24">
        <f t="shared" si="0"/>
        <v>1.529532E-6</v>
      </c>
      <c r="G8" s="23" t="str">
        <f t="shared" si="1"/>
        <v>Very Strong</v>
      </c>
      <c r="H8" s="23">
        <f t="shared" si="2"/>
        <v>101.5279</v>
      </c>
    </row>
    <row r="9" spans="1:8" s="23" customFormat="1" x14ac:dyDescent="0.35">
      <c r="A9" s="21" t="s">
        <v>45</v>
      </c>
      <c r="B9" s="22">
        <v>1.7809550000000001</v>
      </c>
      <c r="C9" s="22">
        <v>1.372841</v>
      </c>
      <c r="D9" s="23">
        <v>2.3103920880176299</v>
      </c>
      <c r="E9" s="24">
        <v>1.384712E-5</v>
      </c>
      <c r="F9" s="24">
        <f t="shared" si="0"/>
        <v>1.384712E-5</v>
      </c>
      <c r="G9" s="23" t="str">
        <f t="shared" si="1"/>
        <v>Very Strong</v>
      </c>
      <c r="H9" s="23">
        <f t="shared" si="2"/>
        <v>78.095500000000001</v>
      </c>
    </row>
    <row r="10" spans="1:8" s="23" customFormat="1" x14ac:dyDescent="0.35">
      <c r="A10" s="21" t="s">
        <v>46</v>
      </c>
      <c r="B10" s="22">
        <v>1.6782820000000001</v>
      </c>
      <c r="C10" s="22">
        <v>1.314427</v>
      </c>
      <c r="D10" s="23">
        <v>2.1428559906354399</v>
      </c>
      <c r="E10" s="24">
        <v>3.2846119999999999E-5</v>
      </c>
      <c r="F10" s="24">
        <f t="shared" si="0"/>
        <v>3.2846119999999999E-5</v>
      </c>
      <c r="G10" s="23" t="str">
        <f t="shared" si="1"/>
        <v>Very Strong</v>
      </c>
      <c r="H10" s="23">
        <f t="shared" si="2"/>
        <v>67.82820000000001</v>
      </c>
    </row>
    <row r="11" spans="1:8" s="23" customFormat="1" x14ac:dyDescent="0.35">
      <c r="A11" s="21" t="s">
        <v>47</v>
      </c>
      <c r="B11" s="22">
        <v>1.384763</v>
      </c>
      <c r="C11" s="22">
        <v>1.1152690000000001</v>
      </c>
      <c r="D11" s="23">
        <v>1.71937888981381</v>
      </c>
      <c r="E11" s="24">
        <v>3.1993939999999999E-3</v>
      </c>
      <c r="F11" s="24">
        <f t="shared" si="0"/>
        <v>3.1993939999999999E-3</v>
      </c>
      <c r="G11" s="23" t="str">
        <f t="shared" si="1"/>
        <v>Very Strong</v>
      </c>
      <c r="H11" s="23">
        <f t="shared" si="2"/>
        <v>38.476299999999995</v>
      </c>
    </row>
    <row r="12" spans="1:8" s="23" customFormat="1" x14ac:dyDescent="0.35">
      <c r="A12" s="21" t="s">
        <v>48</v>
      </c>
      <c r="B12" s="22">
        <v>1.318292</v>
      </c>
      <c r="C12" s="22">
        <v>1.072219</v>
      </c>
      <c r="D12" s="23">
        <v>1.6208365365342701</v>
      </c>
      <c r="E12" s="24">
        <v>8.755288E-3</v>
      </c>
      <c r="F12" s="24">
        <f t="shared" si="0"/>
        <v>8.755288E-3</v>
      </c>
      <c r="G12" s="23" t="str">
        <f t="shared" si="1"/>
        <v>Very Strong</v>
      </c>
      <c r="H12" s="23">
        <f t="shared" si="2"/>
        <v>31.8292</v>
      </c>
    </row>
    <row r="13" spans="1:8" s="28" customFormat="1" x14ac:dyDescent="0.35">
      <c r="A13" s="25" t="s">
        <v>49</v>
      </c>
      <c r="B13" s="26">
        <v>1.3101609999999999</v>
      </c>
      <c r="C13" s="26">
        <v>1.0873539999999999</v>
      </c>
      <c r="D13" s="23">
        <v>1.5786218891634201</v>
      </c>
      <c r="E13" s="27">
        <v>4.5036520000000003E-3</v>
      </c>
      <c r="F13" s="24">
        <f t="shared" si="0"/>
        <v>4.5036520000000003E-3</v>
      </c>
      <c r="G13" s="23" t="str">
        <f t="shared" si="1"/>
        <v>Very Strong</v>
      </c>
      <c r="H13" s="23">
        <f t="shared" si="2"/>
        <v>31.016099999999991</v>
      </c>
    </row>
    <row r="14" spans="1:8" s="19" customFormat="1" x14ac:dyDescent="0.35">
      <c r="A14" s="17" t="s">
        <v>50</v>
      </c>
      <c r="B14" s="18">
        <v>1.2728680000000001</v>
      </c>
      <c r="C14" s="18">
        <v>0.90088299999999999</v>
      </c>
      <c r="D14" s="19">
        <v>1.7984483514893399</v>
      </c>
      <c r="E14" s="20">
        <v>0.17128160000000001</v>
      </c>
      <c r="F14" s="20">
        <f t="shared" si="0"/>
        <v>0.17128160000000001</v>
      </c>
      <c r="G14" s="19" t="str">
        <f t="shared" si="1"/>
        <v>Little Evidence</v>
      </c>
      <c r="H14" s="19">
        <f t="shared" si="2"/>
        <v>27.28680000000001</v>
      </c>
    </row>
    <row r="15" spans="1:8" s="19" customFormat="1" x14ac:dyDescent="0.35">
      <c r="A15" s="17" t="s">
        <v>51</v>
      </c>
      <c r="B15" s="18">
        <v>1.222763</v>
      </c>
      <c r="C15" s="18">
        <v>0.99321899999999996</v>
      </c>
      <c r="D15" s="19">
        <v>1.50535773241837</v>
      </c>
      <c r="E15" s="20">
        <v>5.7983449999999999E-2</v>
      </c>
      <c r="F15" s="20">
        <f t="shared" si="0"/>
        <v>5.7983449999999999E-2</v>
      </c>
      <c r="G15" s="19" t="str">
        <f t="shared" si="1"/>
        <v>Moderate</v>
      </c>
      <c r="H15" s="19">
        <f t="shared" si="2"/>
        <v>22.276300000000006</v>
      </c>
    </row>
    <row r="16" spans="1:8" s="19" customFormat="1" x14ac:dyDescent="0.35">
      <c r="A16" s="17" t="s">
        <v>52</v>
      </c>
      <c r="B16" s="18">
        <v>1.2023600000000001</v>
      </c>
      <c r="C16" s="18">
        <v>0.98896200000000001</v>
      </c>
      <c r="D16" s="19">
        <v>1.4618055757010899</v>
      </c>
      <c r="E16" s="20">
        <v>6.4511780000000005E-2</v>
      </c>
      <c r="F16" s="20">
        <f t="shared" si="0"/>
        <v>6.4511780000000005E-2</v>
      </c>
      <c r="G16" s="19" t="str">
        <f t="shared" si="1"/>
        <v>Moderate</v>
      </c>
      <c r="H16" s="19">
        <f t="shared" si="2"/>
        <v>20.236000000000011</v>
      </c>
    </row>
    <row r="17" spans="1:8" s="19" customFormat="1" x14ac:dyDescent="0.35">
      <c r="A17" s="17" t="s">
        <v>53</v>
      </c>
      <c r="B17" s="18">
        <v>1.1935750000000001</v>
      </c>
      <c r="C17" s="18">
        <v>0.97077100000000005</v>
      </c>
      <c r="D17" s="19">
        <v>1.4675167262279301</v>
      </c>
      <c r="E17" s="20">
        <v>9.3237280000000006E-2</v>
      </c>
      <c r="F17" s="20">
        <f t="shared" si="0"/>
        <v>9.3237280000000006E-2</v>
      </c>
      <c r="G17" s="19" t="str">
        <f t="shared" si="1"/>
        <v>Moderate</v>
      </c>
      <c r="H17" s="19">
        <f t="shared" si="2"/>
        <v>19.357500000000005</v>
      </c>
    </row>
    <row r="18" spans="1:8" s="19" customFormat="1" x14ac:dyDescent="0.35">
      <c r="A18" s="17" t="s">
        <v>54</v>
      </c>
      <c r="B18" s="18">
        <v>1.1656979999999999</v>
      </c>
      <c r="C18" s="18">
        <v>0.95476000000000005</v>
      </c>
      <c r="D18" s="19">
        <v>1.4232389254061599</v>
      </c>
      <c r="E18" s="20">
        <v>0.13221949999999999</v>
      </c>
      <c r="F18" s="20">
        <f t="shared" si="0"/>
        <v>0.13221949999999999</v>
      </c>
      <c r="G18" s="19" t="str">
        <f t="shared" si="1"/>
        <v>Little Evidence</v>
      </c>
      <c r="H18" s="19">
        <f t="shared" si="2"/>
        <v>16.56979999999999</v>
      </c>
    </row>
    <row r="19" spans="1:8" s="19" customFormat="1" x14ac:dyDescent="0.35">
      <c r="A19" s="17" t="s">
        <v>55</v>
      </c>
      <c r="B19" s="18">
        <v>0.853051</v>
      </c>
      <c r="C19" s="18">
        <v>0.69439099999999998</v>
      </c>
      <c r="D19" s="19">
        <v>1.0479621908160801</v>
      </c>
      <c r="E19" s="20">
        <v>0.13008420000000001</v>
      </c>
      <c r="F19" s="20">
        <f t="shared" si="0"/>
        <v>0.13008420000000001</v>
      </c>
      <c r="G19" s="19" t="str">
        <f t="shared" si="1"/>
        <v>Little Evidence</v>
      </c>
      <c r="H19" s="19">
        <f t="shared" si="2"/>
        <v>-14.694900000000001</v>
      </c>
    </row>
    <row r="20" spans="1:8" s="23" customFormat="1" x14ac:dyDescent="0.35">
      <c r="A20" s="21" t="s">
        <v>56</v>
      </c>
      <c r="B20" s="22">
        <v>0.64724999999999999</v>
      </c>
      <c r="C20" s="22">
        <v>0.446158</v>
      </c>
      <c r="D20" s="23">
        <v>0.93897673751931998</v>
      </c>
      <c r="E20" s="24">
        <v>2.192558E-2</v>
      </c>
      <c r="F20" s="24">
        <f t="shared" si="0"/>
        <v>2.192558E-2</v>
      </c>
      <c r="G20" s="23" t="str">
        <f t="shared" si="1"/>
        <v>Strong</v>
      </c>
      <c r="H20" s="23">
        <f t="shared" si="2"/>
        <v>-35.274999999999999</v>
      </c>
    </row>
    <row r="21" spans="1:8" s="23" customFormat="1" x14ac:dyDescent="0.35">
      <c r="A21" s="21" t="s">
        <v>57</v>
      </c>
      <c r="B21" s="22">
        <v>0.53056000000000003</v>
      </c>
      <c r="C21" s="22">
        <v>0.36488799999999999</v>
      </c>
      <c r="D21" s="23">
        <v>0.77145066812037799</v>
      </c>
      <c r="E21" s="24">
        <v>9.0483830000000003E-4</v>
      </c>
      <c r="F21" s="24">
        <f t="shared" si="0"/>
        <v>9.0483830000000003E-4</v>
      </c>
      <c r="G21" s="23" t="str">
        <f t="shared" si="1"/>
        <v>Very Strong</v>
      </c>
      <c r="H21" s="23">
        <f t="shared" si="2"/>
        <v>-46.943999999999996</v>
      </c>
    </row>
    <row r="22" spans="1:8" s="23" customFormat="1" x14ac:dyDescent="0.35">
      <c r="A22" s="21" t="s">
        <v>58</v>
      </c>
      <c r="B22" s="22">
        <v>0.41107100000000002</v>
      </c>
      <c r="C22" s="22">
        <v>0.275783</v>
      </c>
      <c r="D22" s="23">
        <v>0.61272495764520996</v>
      </c>
      <c r="E22" s="24">
        <v>1.269864E-5</v>
      </c>
      <c r="F22" s="24">
        <f t="shared" si="0"/>
        <v>1.269864E-5</v>
      </c>
      <c r="G22" s="23" t="str">
        <f t="shared" si="1"/>
        <v>Very Strong</v>
      </c>
      <c r="H22" s="23">
        <f t="shared" si="2"/>
        <v>-58.892900000000004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ModelB_Summary</vt:lpstr>
      <vt:lpstr>ModelB_PredProb</vt:lpstr>
      <vt:lpstr>ModelB_OddsRatio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Afeena Gafoor</dc:creator>
  <cp:lastModifiedBy>Afeena Gafoor</cp:lastModifiedBy>
  <dcterms:created xsi:type="dcterms:W3CDTF">2025-10-05T18:04:19Z</dcterms:created>
  <dcterms:modified xsi:type="dcterms:W3CDTF">2025-10-06T13:08:53Z</dcterms:modified>
</cp:coreProperties>
</file>