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Env\"/>
    </mc:Choice>
  </mc:AlternateContent>
  <xr:revisionPtr revIDLastSave="0" documentId="13_ncr:1_{1BE4139E-8939-4754-9BFF-099FD8641766}" xr6:coauthVersionLast="47" xr6:coauthVersionMax="47" xr10:uidLastSave="{00000000-0000-0000-0000-000000000000}"/>
  <bookViews>
    <workbookView xWindow="-110" yWindow="-110" windowWidth="19420" windowHeight="10300" tabRatio="439" activeTab="2" xr2:uid="{F4EDAE2F-9DFD-4DAF-B91A-A1702D33D91A}"/>
  </bookViews>
  <sheets>
    <sheet name="EnvModelB_RoadAnalysis" sheetId="1" r:id="rId1"/>
    <sheet name="PredProb" sheetId="2" r:id="rId2"/>
    <sheet name="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2" i="3"/>
  <c r="H3" i="3"/>
  <c r="H4" i="3"/>
  <c r="H5" i="3"/>
  <c r="H6" i="3"/>
  <c r="H7" i="3"/>
  <c r="H8" i="3"/>
  <c r="H9" i="3"/>
  <c r="H10" i="3"/>
  <c r="H2" i="3"/>
</calcChain>
</file>

<file path=xl/sharedStrings.xml><?xml version="1.0" encoding="utf-8"?>
<sst xmlns="http://schemas.openxmlformats.org/spreadsheetml/2006/main" count="60" uniqueCount="41">
  <si>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</si>
  <si>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</si>
  <si>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</si>
  <si>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10035</t>
  </si>
  <si>
    <t>Method:                           MLE   Df Model:                            8</t>
  </si>
  <si>
    <t>Date:                Mon</t>
  </si>
  <si>
    <t xml:space="preserve"> 06 Oct 2025   Pseudo R-squ.:                0.001838</t>
  </si>
  <si>
    <t>Time:                        05:32:59   Log-Likelihood:                -5770.7</t>
  </si>
  <si>
    <t>converged:                      False   LL-Null:                       -5781.3</t>
  </si>
  <si>
    <t>Covariance Type:            nonrobust   LLR p-value:                  0.006512</t>
  </si>
  <si>
    <t>================================================================================================================</t>
  </si>
  <si>
    <t xml:space="preserve">                                                   coef    std err          z      P&gt;|z|      [0.025      0.975]</t>
  </si>
  <si>
    <t>----------------------------------------------------------------------------------------------------------------</t>
  </si>
  <si>
    <t>Intercept                                        1.0207      0.025     40.485      0.000       0.971       1.070</t>
  </si>
  <si>
    <t>EnvRoadSurfaceCondition_Ice                     -0.8723      0.274     -3.183      0.001      -1.409      -0.335</t>
  </si>
  <si>
    <t>EnvRoadSurfaceCondition_Loose_Sand_or_Gravel     0.0779      0.817      0.095      0.924      -1.523       1.679</t>
  </si>
  <si>
    <t>EnvRoadSurfaceCondition_Loose_Snow              -0.3116      0.221     -1.411      0.158      -0.744       0.121</t>
  </si>
  <si>
    <t>EnvRoadSurfaceCondition_Other                    0.7085      0.328      2.159      0.031       0.065       1.352</t>
  </si>
  <si>
    <t>EnvRoadSurfaceCondition_Packed_Snow              0.2602      0.506      0.514      0.607      -0.732       1.252</t>
  </si>
  <si>
    <t>EnvRoadSurfaceCondition_Slush                   -0.1179      0.307     -0.384      0.701      -0.720       0.484</t>
  </si>
  <si>
    <t>EnvRoadSurfaceCondition_Spilled_liquid          18.4203   1.67e+04      0.001      0.999   -3.26e+04    3.27e+04</t>
  </si>
  <si>
    <t>EnvRoadSurfaceCondition_Wet                      0.1037      0.062      1.663      0.096      -0.019       0.226</t>
  </si>
  <si>
    <t>================================================================================================================AgeRange</t>
  </si>
  <si>
    <t>PredProb_Severe</t>
  </si>
  <si>
    <t>EnvRoadSurfaceCondition_Spilled_liquid</t>
  </si>
  <si>
    <t>EnvRoadSurfaceCondition_Other</t>
  </si>
  <si>
    <t>EnvRoadSurfaceCondition_Packed_Snow</t>
  </si>
  <si>
    <t>EnvRoadSurfaceCondition_Wet</t>
  </si>
  <si>
    <t>EnvRoadSurfaceCondition_Loose_Sand_or_Gravel</t>
  </si>
  <si>
    <t>EnvRoadSurfaceCondition_Slush</t>
  </si>
  <si>
    <t>EnvRoadSurfaceCondition_Loose_Snow</t>
  </si>
  <si>
    <t>EnvRoadSurfaceCondition_Ice</t>
  </si>
  <si>
    <t>OR</t>
  </si>
  <si>
    <t>pval</t>
  </si>
  <si>
    <t>inf</t>
  </si>
  <si>
    <t>Intercept</t>
  </si>
  <si>
    <t>Consideration</t>
  </si>
  <si>
    <t>RoadSurface</t>
  </si>
  <si>
    <t>pval_new</t>
  </si>
  <si>
    <t>pval_old</t>
  </si>
  <si>
    <t>OddsRatio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</si>
</sst>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0" fontId="0" fillId="0" borderId="0" xfId="0" applyNumberForma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164" fontId="19" fillId="0" borderId="11" xfId="0" applyNumberFormat="1" applyFont="1" applyBorder="1" applyAlignment="1">
      <alignment horizontal="center" vertical="center" wrapText="1"/>
    </xf>
    <xf numFmtId="10" fontId="19" fillId="0" borderId="11" xfId="0" applyNumberFormat="1" applyFont="1" applyBorder="1" applyAlignment="1">
      <alignment horizontal="center" vertical="center" wrapText="1"/>
    </xf>
    <xf numFmtId="0" fontId="0" fillId="0" borderId="11" xfId="0" applyBorder="1"/>
    <xf numFmtId="165" fontId="0" fillId="0" borderId="11" xfId="0" applyNumberFormat="1" applyBorder="1"/>
    <xf numFmtId="0" fontId="19" fillId="33" borderId="11" xfId="0" applyFont="1" applyFill="1" applyBorder="1" applyAlignment="1">
      <alignment horizontal="center" vertical="center" wrapText="1"/>
    </xf>
    <xf numFmtId="164" fontId="18" fillId="33" borderId="11" xfId="0" applyNumberFormat="1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0" fillId="33" borderId="11" xfId="0" applyFill="1" applyBorder="1"/>
    <xf numFmtId="165" fontId="0" fillId="33" borderId="11" xfId="0" applyNumberFormat="1" applyFill="1" applyBorder="1"/>
    <xf numFmtId="0" fontId="19" fillId="34" borderId="11" xfId="0" applyFont="1" applyFill="1" applyBorder="1" applyAlignment="1">
      <alignment horizontal="center" vertical="center" wrapText="1"/>
    </xf>
    <xf numFmtId="164" fontId="18" fillId="34" borderId="11" xfId="0" applyNumberFormat="1" applyFont="1" applyFill="1" applyBorder="1" applyAlignment="1">
      <alignment vertical="center" wrapText="1"/>
    </xf>
    <xf numFmtId="0" fontId="18" fillId="34" borderId="11" xfId="0" applyFont="1" applyFill="1" applyBorder="1" applyAlignment="1">
      <alignment vertical="center" wrapText="1"/>
    </xf>
    <xf numFmtId="0" fontId="0" fillId="34" borderId="11" xfId="0" applyFill="1" applyBorder="1"/>
    <xf numFmtId="165" fontId="0" fillId="34" borderId="11" xfId="0" applyNumberFormat="1" applyFill="1" applyBorder="1"/>
    <xf numFmtId="164" fontId="0" fillId="0" borderId="11" xfId="0" applyNumberFormat="1" applyBorder="1"/>
    <xf numFmtId="0" fontId="16" fillId="0" borderId="11" xfId="0" applyFont="1" applyBorder="1"/>
    <xf numFmtId="165" fontId="16" fillId="0" borderId="11" xfId="0" applyNumberFormat="1" applyFont="1" applyBorder="1"/>
    <xf numFmtId="0" fontId="18" fillId="35" borderId="11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F03E-D479-463C-B2AF-072C54B71A36}">
  <dimension ref="A1:D40"/>
  <sheetViews>
    <sheetView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4" x14ac:dyDescent="0.35">
      <c r="A17" t="s">
        <v>17</v>
      </c>
    </row>
    <row r="18" spans="1:4" x14ac:dyDescent="0.35">
      <c r="A18" t="s">
        <v>18</v>
      </c>
    </row>
    <row r="19" spans="1:4" x14ac:dyDescent="0.35">
      <c r="A19" t="s">
        <v>19</v>
      </c>
    </row>
    <row r="20" spans="1:4" x14ac:dyDescent="0.35">
      <c r="A20" t="s">
        <v>20</v>
      </c>
    </row>
    <row r="21" spans="1:4" x14ac:dyDescent="0.35">
      <c r="A21" t="s">
        <v>21</v>
      </c>
    </row>
    <row r="22" spans="1:4" x14ac:dyDescent="0.35">
      <c r="A22" t="s">
        <v>22</v>
      </c>
      <c r="B22" t="s">
        <v>23</v>
      </c>
    </row>
    <row r="23" spans="1:4" x14ac:dyDescent="0.35">
      <c r="A23" t="s">
        <v>24</v>
      </c>
      <c r="B23">
        <v>0.999999996</v>
      </c>
    </row>
    <row r="24" spans="1:4" x14ac:dyDescent="0.35">
      <c r="A24" t="s">
        <v>25</v>
      </c>
      <c r="B24">
        <v>0.84931506800000001</v>
      </c>
    </row>
    <row r="25" spans="1:4" x14ac:dyDescent="0.35">
      <c r="A25" t="s">
        <v>26</v>
      </c>
      <c r="B25">
        <v>0.78260869600000005</v>
      </c>
    </row>
    <row r="26" spans="1:4" x14ac:dyDescent="0.35">
      <c r="A26" t="s">
        <v>27</v>
      </c>
      <c r="B26">
        <v>0.75481927699999996</v>
      </c>
    </row>
    <row r="27" spans="1:4" x14ac:dyDescent="0.35">
      <c r="A27" t="s">
        <v>28</v>
      </c>
      <c r="B27">
        <v>0.75</v>
      </c>
    </row>
    <row r="28" spans="1:4" x14ac:dyDescent="0.35">
      <c r="A28" t="s">
        <v>29</v>
      </c>
      <c r="B28">
        <v>0.71153846200000004</v>
      </c>
    </row>
    <row r="29" spans="1:4" x14ac:dyDescent="0.35">
      <c r="A29" t="s">
        <v>30</v>
      </c>
      <c r="B29">
        <v>0.67021276600000002</v>
      </c>
    </row>
    <row r="30" spans="1:4" x14ac:dyDescent="0.35">
      <c r="A30" t="s">
        <v>31</v>
      </c>
      <c r="B30">
        <v>0.53703703700000005</v>
      </c>
    </row>
    <row r="31" spans="1:4" x14ac:dyDescent="0.35">
      <c r="A31" t="s">
        <v>32</v>
      </c>
      <c r="B31" s="1">
        <v>2.5000000000000001E-2</v>
      </c>
      <c r="C31" s="1">
        <v>0.97499999999999998</v>
      </c>
      <c r="D31" t="s">
        <v>33</v>
      </c>
    </row>
    <row r="32" spans="1:4" x14ac:dyDescent="0.35">
      <c r="A32">
        <v>99965487.569999993</v>
      </c>
      <c r="B32">
        <v>0</v>
      </c>
      <c r="C32" t="s">
        <v>34</v>
      </c>
      <c r="D32">
        <v>0.99911760599999999</v>
      </c>
    </row>
    <row r="33" spans="1:4" x14ac:dyDescent="0.35">
      <c r="A33">
        <v>2.7752336450000001</v>
      </c>
      <c r="B33">
        <v>2.64142732</v>
      </c>
      <c r="C33">
        <v>2.9158181729999999</v>
      </c>
      <c r="D33">
        <v>0</v>
      </c>
    </row>
    <row r="34" spans="1:4" x14ac:dyDescent="0.35">
      <c r="A34">
        <v>2.0309510319999999</v>
      </c>
      <c r="B34">
        <v>1.067551562</v>
      </c>
      <c r="C34">
        <v>3.86375913</v>
      </c>
      <c r="D34">
        <v>3.0836760000000001E-2</v>
      </c>
    </row>
    <row r="35" spans="1:4" x14ac:dyDescent="0.35">
      <c r="A35">
        <v>1.2971880790000001</v>
      </c>
      <c r="B35">
        <v>0.481021433</v>
      </c>
      <c r="C35">
        <v>3.4981745019999999</v>
      </c>
      <c r="D35">
        <v>0.60720215600000005</v>
      </c>
    </row>
    <row r="36" spans="1:4" x14ac:dyDescent="0.35">
      <c r="A36">
        <v>1.1093206819999999</v>
      </c>
      <c r="B36">
        <v>0.98166347200000004</v>
      </c>
      <c r="C36">
        <v>1.253578654</v>
      </c>
      <c r="D36">
        <v>9.6258932000000005E-2</v>
      </c>
    </row>
    <row r="37" spans="1:4" x14ac:dyDescent="0.35">
      <c r="A37">
        <v>1.080990066</v>
      </c>
      <c r="B37">
        <v>0.218015458</v>
      </c>
      <c r="C37">
        <v>5.3598929660000003</v>
      </c>
      <c r="D37">
        <v>0.924049185</v>
      </c>
    </row>
    <row r="38" spans="1:4" x14ac:dyDescent="0.35">
      <c r="A38">
        <v>0.88881405400000002</v>
      </c>
      <c r="B38">
        <v>0.48683372499999999</v>
      </c>
      <c r="C38">
        <v>1.6227109639999999</v>
      </c>
      <c r="D38">
        <v>0.701149841</v>
      </c>
    </row>
    <row r="39" spans="1:4" x14ac:dyDescent="0.35">
      <c r="A39">
        <v>0.73228359300000001</v>
      </c>
      <c r="B39">
        <v>0.47501443799999998</v>
      </c>
      <c r="C39">
        <v>1.128890446</v>
      </c>
      <c r="D39">
        <v>0.15825323799999999</v>
      </c>
    </row>
    <row r="40" spans="1:4" x14ac:dyDescent="0.35">
      <c r="A40">
        <v>0.417982825</v>
      </c>
      <c r="B40">
        <v>0.24426617</v>
      </c>
      <c r="C40">
        <v>0.71524289399999996</v>
      </c>
      <c r="D40">
        <v>1.4589259999999999E-3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DAAF-FA6C-4FDA-8199-642E2420720F}">
  <dimension ref="A1:C9"/>
  <sheetViews>
    <sheetView workbookViewId="0">
      <selection activeCell="B11" sqref="B11"/>
    </sheetView>
  </sheetViews>
  <sheetFormatPr defaultRowHeight="14.5" x14ac:dyDescent="0.35"/>
  <cols>
    <col min="2" max="2" width="51.36328125" customWidth="1"/>
    <col min="3" max="3" width="24.1796875" customWidth="1"/>
  </cols>
  <sheetData>
    <row r="1" spans="1:3" x14ac:dyDescent="0.35">
      <c r="A1" s="2"/>
      <c r="B1" s="2" t="s">
        <v>37</v>
      </c>
      <c r="C1" s="2" t="s">
        <v>23</v>
      </c>
    </row>
    <row r="2" spans="1:3" x14ac:dyDescent="0.35">
      <c r="A2" s="2">
        <v>6</v>
      </c>
      <c r="B2" s="3" t="s">
        <v>24</v>
      </c>
      <c r="C2" s="3">
        <v>1</v>
      </c>
    </row>
    <row r="3" spans="1:3" x14ac:dyDescent="0.35">
      <c r="A3" s="2">
        <v>3</v>
      </c>
      <c r="B3" s="3" t="s">
        <v>25</v>
      </c>
      <c r="C3" s="3">
        <v>0.84931500000000004</v>
      </c>
    </row>
    <row r="4" spans="1:3" x14ac:dyDescent="0.35">
      <c r="A4" s="2">
        <v>4</v>
      </c>
      <c r="B4" s="3" t="s">
        <v>26</v>
      </c>
      <c r="C4" s="3">
        <v>0.782609</v>
      </c>
    </row>
    <row r="5" spans="1:3" x14ac:dyDescent="0.35">
      <c r="A5" s="2">
        <v>7</v>
      </c>
      <c r="B5" s="3" t="s">
        <v>27</v>
      </c>
      <c r="C5" s="3">
        <v>0.75481900000000002</v>
      </c>
    </row>
    <row r="6" spans="1:3" x14ac:dyDescent="0.35">
      <c r="A6" s="2">
        <v>1</v>
      </c>
      <c r="B6" s="3" t="s">
        <v>28</v>
      </c>
      <c r="C6" s="3">
        <v>0.75</v>
      </c>
    </row>
    <row r="7" spans="1:3" x14ac:dyDescent="0.35">
      <c r="A7" s="2">
        <v>5</v>
      </c>
      <c r="B7" s="3" t="s">
        <v>29</v>
      </c>
      <c r="C7" s="3">
        <v>0.711538</v>
      </c>
    </row>
    <row r="8" spans="1:3" x14ac:dyDescent="0.35">
      <c r="A8" s="2">
        <v>2</v>
      </c>
      <c r="B8" s="3" t="s">
        <v>30</v>
      </c>
      <c r="C8" s="3">
        <v>0.67021299999999995</v>
      </c>
    </row>
    <row r="9" spans="1:3" x14ac:dyDescent="0.35">
      <c r="A9" s="2">
        <v>0</v>
      </c>
      <c r="B9" s="3" t="s">
        <v>31</v>
      </c>
      <c r="C9" s="3">
        <v>0.53703699999999999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1BC1-C4DD-446C-A8F6-D4970944F2A2}">
  <dimension ref="A1:H14"/>
  <sheetViews>
    <sheetView tabSelected="1" workbookViewId="0">
      <selection activeCell="H1" sqref="H1"/>
    </sheetView>
  </sheetViews>
  <sheetFormatPr defaultRowHeight="14.5" x14ac:dyDescent="0.35"/>
  <cols>
    <col min="1" max="1" width="39" style="7" bestFit="1" customWidth="1"/>
    <col min="2" max="2" width="22.453125" style="19" bestFit="1" customWidth="1"/>
    <col min="3" max="4" width="7.6328125" style="7" bestFit="1" customWidth="1"/>
    <col min="5" max="5" width="12.453125" style="7" hidden="1" customWidth="1"/>
    <col min="6" max="6" width="12.453125" style="7" customWidth="1"/>
    <col min="7" max="7" width="17.1796875" style="7" customWidth="1"/>
    <col min="8" max="8" width="19.453125" style="8" customWidth="1"/>
    <col min="9" max="16384" width="8.7265625" style="7"/>
  </cols>
  <sheetData>
    <row r="1" spans="1:8" s="20" customFormat="1" x14ac:dyDescent="0.35">
      <c r="A1" s="4"/>
      <c r="B1" s="5" t="s">
        <v>32</v>
      </c>
      <c r="C1" s="6">
        <v>2.5000000000000001E-2</v>
      </c>
      <c r="D1" s="6">
        <v>0.97499999999999998</v>
      </c>
      <c r="E1" s="4" t="s">
        <v>39</v>
      </c>
      <c r="F1" s="4" t="s">
        <v>38</v>
      </c>
      <c r="G1" s="20" t="s">
        <v>36</v>
      </c>
      <c r="H1" s="21" t="s">
        <v>40</v>
      </c>
    </row>
    <row r="2" spans="1:8" s="12" customFormat="1" x14ac:dyDescent="0.35">
      <c r="A2" s="9" t="s">
        <v>24</v>
      </c>
      <c r="B2" s="10">
        <v>99965490</v>
      </c>
      <c r="C2" s="11">
        <v>0</v>
      </c>
      <c r="D2" s="11" t="s">
        <v>34</v>
      </c>
      <c r="E2" s="11">
        <v>0.99911799999999995</v>
      </c>
      <c r="F2" s="11">
        <f t="shared" ref="F2:F10" si="0">E2*1</f>
        <v>0.99911799999999995</v>
      </c>
      <c r="G2" s="12" t="str">
        <f>IF(F2&lt;0.01, "Very Strong", IF(F2&lt;0.05, "Strong", IF(F2&lt;0.1,"Moderate","Little Evidence")))</f>
        <v>Little Evidence</v>
      </c>
      <c r="H2" s="13">
        <f t="shared" ref="H2:H10" si="1">(B2-1)*100</f>
        <v>9996548900</v>
      </c>
    </row>
    <row r="3" spans="1:8" s="17" customFormat="1" x14ac:dyDescent="0.35">
      <c r="A3" s="14" t="s">
        <v>35</v>
      </c>
      <c r="B3" s="15">
        <v>2.7752340000000002</v>
      </c>
      <c r="C3" s="16">
        <v>2.6414270000000002</v>
      </c>
      <c r="D3" s="16">
        <v>2.9158179999999998</v>
      </c>
      <c r="E3" s="16">
        <v>0</v>
      </c>
      <c r="F3" s="16">
        <f t="shared" si="0"/>
        <v>0</v>
      </c>
      <c r="G3" s="17" t="str">
        <f t="shared" ref="G3:G10" si="2">IF(F3&lt;0.01, "Very Strong", IF(F3&lt;0.05, "Strong", IF(F3&lt;0.1,"Moderate","Little Evidence")))</f>
        <v>Very Strong</v>
      </c>
      <c r="H3" s="18">
        <f t="shared" si="1"/>
        <v>177.52340000000001</v>
      </c>
    </row>
    <row r="4" spans="1:8" s="17" customFormat="1" x14ac:dyDescent="0.35">
      <c r="A4" s="14" t="s">
        <v>25</v>
      </c>
      <c r="B4" s="15">
        <v>2.030951</v>
      </c>
      <c r="C4" s="16">
        <v>1.0675520000000001</v>
      </c>
      <c r="D4" s="16">
        <v>3.8637589999999999</v>
      </c>
      <c r="E4" s="16">
        <v>3.0837E-2</v>
      </c>
      <c r="F4" s="16">
        <f t="shared" si="0"/>
        <v>3.0837E-2</v>
      </c>
      <c r="G4" s="17" t="str">
        <f t="shared" si="2"/>
        <v>Strong</v>
      </c>
      <c r="H4" s="18">
        <f t="shared" si="1"/>
        <v>103.0951</v>
      </c>
    </row>
    <row r="5" spans="1:8" s="12" customFormat="1" x14ac:dyDescent="0.35">
      <c r="A5" s="9" t="s">
        <v>26</v>
      </c>
      <c r="B5" s="10">
        <v>1.297188</v>
      </c>
      <c r="C5" s="11">
        <v>0.48102099999999998</v>
      </c>
      <c r="D5" s="11">
        <v>3.4981749999999998</v>
      </c>
      <c r="E5" s="11">
        <v>0.60720200000000002</v>
      </c>
      <c r="F5" s="11">
        <f t="shared" si="0"/>
        <v>0.60720200000000002</v>
      </c>
      <c r="G5" s="12" t="str">
        <f t="shared" si="2"/>
        <v>Little Evidence</v>
      </c>
      <c r="H5" s="13">
        <f t="shared" si="1"/>
        <v>29.718800000000002</v>
      </c>
    </row>
    <row r="6" spans="1:8" s="12" customFormat="1" x14ac:dyDescent="0.35">
      <c r="A6" s="9" t="s">
        <v>27</v>
      </c>
      <c r="B6" s="10">
        <v>1.109321</v>
      </c>
      <c r="C6" s="11">
        <v>0.98166299999999995</v>
      </c>
      <c r="D6" s="11">
        <v>1.253579</v>
      </c>
      <c r="E6" s="11">
        <v>9.6258999999999997E-2</v>
      </c>
      <c r="F6" s="11">
        <f t="shared" si="0"/>
        <v>9.6258999999999997E-2</v>
      </c>
      <c r="G6" s="12" t="str">
        <f t="shared" si="2"/>
        <v>Moderate</v>
      </c>
      <c r="H6" s="13">
        <f t="shared" si="1"/>
        <v>10.9321</v>
      </c>
    </row>
    <row r="7" spans="1:8" s="12" customFormat="1" x14ac:dyDescent="0.35">
      <c r="A7" s="9" t="s">
        <v>28</v>
      </c>
      <c r="B7" s="10">
        <v>1.0809899999999999</v>
      </c>
      <c r="C7" s="11">
        <v>0.21801499999999999</v>
      </c>
      <c r="D7" s="11">
        <v>5.3598929999999996</v>
      </c>
      <c r="E7" s="11">
        <v>0.92404900000000001</v>
      </c>
      <c r="F7" s="11">
        <f t="shared" si="0"/>
        <v>0.92404900000000001</v>
      </c>
      <c r="G7" s="12" t="str">
        <f t="shared" si="2"/>
        <v>Little Evidence</v>
      </c>
      <c r="H7" s="13">
        <f t="shared" si="1"/>
        <v>8.0989999999999895</v>
      </c>
    </row>
    <row r="8" spans="1:8" s="12" customFormat="1" x14ac:dyDescent="0.35">
      <c r="A8" s="9" t="s">
        <v>29</v>
      </c>
      <c r="B8" s="10">
        <v>0.88881410000000005</v>
      </c>
      <c r="C8" s="11">
        <v>0.48683399999999999</v>
      </c>
      <c r="D8" s="11">
        <v>1.622711</v>
      </c>
      <c r="E8" s="11">
        <v>0.70115000000000005</v>
      </c>
      <c r="F8" s="11">
        <f t="shared" si="0"/>
        <v>0.70115000000000005</v>
      </c>
      <c r="G8" s="12" t="str">
        <f t="shared" si="2"/>
        <v>Little Evidence</v>
      </c>
      <c r="H8" s="13">
        <f t="shared" si="1"/>
        <v>-11.118589999999994</v>
      </c>
    </row>
    <row r="9" spans="1:8" s="12" customFormat="1" x14ac:dyDescent="0.35">
      <c r="A9" s="9" t="s">
        <v>30</v>
      </c>
      <c r="B9" s="10">
        <v>0.73228360000000003</v>
      </c>
      <c r="C9" s="11">
        <v>0.47501399999999999</v>
      </c>
      <c r="D9" s="11">
        <v>1.1288899999999999</v>
      </c>
      <c r="E9" s="11">
        <v>0.158253</v>
      </c>
      <c r="F9" s="11">
        <f t="shared" si="0"/>
        <v>0.158253</v>
      </c>
      <c r="G9" s="12" t="str">
        <f t="shared" si="2"/>
        <v>Little Evidence</v>
      </c>
      <c r="H9" s="13">
        <f t="shared" si="1"/>
        <v>-26.771639999999998</v>
      </c>
    </row>
    <row r="10" spans="1:8" s="17" customFormat="1" x14ac:dyDescent="0.35">
      <c r="A10" s="14" t="s">
        <v>31</v>
      </c>
      <c r="B10" s="15">
        <v>0.41798279999999999</v>
      </c>
      <c r="C10" s="16">
        <v>0.24426600000000001</v>
      </c>
      <c r="D10" s="16">
        <v>0.71524299999999996</v>
      </c>
      <c r="E10" s="16">
        <v>1.459E-3</v>
      </c>
      <c r="F10" s="16">
        <f t="shared" si="0"/>
        <v>1.459E-3</v>
      </c>
      <c r="G10" s="17" t="str">
        <f t="shared" si="2"/>
        <v>Very Strong</v>
      </c>
      <c r="H10" s="18">
        <f t="shared" si="1"/>
        <v>-58.201720000000002</v>
      </c>
    </row>
    <row r="11" spans="1:8" x14ac:dyDescent="0.35">
      <c r="F11" s="22"/>
    </row>
    <row r="12" spans="1:8" x14ac:dyDescent="0.35">
      <c r="F12" s="22"/>
    </row>
    <row r="13" spans="1:8" x14ac:dyDescent="0.35">
      <c r="F13" s="22"/>
    </row>
    <row r="14" spans="1:8" x14ac:dyDescent="0.35">
      <c r="F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EnvModelB_RoadAnalysis</vt:lpstr>
      <vt:lpstr>PredProb</vt:lpstr>
      <vt:lpstr>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2025-10-06T10:45:46Z</dcterms:created>
  <dcterms:modified xsi:type="dcterms:W3CDTF">2025-10-06T13:41:24Z</dcterms:modified>
</cp:coreProperties>
</file>